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Calculator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AI Features Detail" sheetId="3" state="visible" r:id="rId3"/>
  </sheets>
  <definedNames>
    <definedName name="_xlnm.Print_Area" localSheetId="0">'Pricing Calculator'!$A$1:$G$67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&quot;/mo&quot;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B0BEC5"/>
      <sz val="12"/>
    </font>
    <font>
      <name val="Arial"/>
      <b val="1"/>
      <color rgb="00FFFFFF"/>
      <sz val="14"/>
    </font>
    <font>
      <name val="Arial"/>
      <b val="1"/>
      <color rgb="001A1A2E"/>
      <sz val="11"/>
    </font>
    <font>
      <name val="Arial"/>
      <b val="1"/>
      <color rgb="000000FF"/>
      <sz val="11"/>
    </font>
    <font>
      <name val="Arial"/>
      <color rgb="00666666"/>
      <sz val="10"/>
    </font>
    <font>
      <name val="Arial"/>
      <b val="1"/>
      <color rgb="00FFFFFF"/>
      <sz val="10"/>
    </font>
    <font>
      <name val="Arial"/>
      <color rgb="001A1A2E"/>
      <sz val="11"/>
    </font>
    <font>
      <name val="Arial"/>
      <b val="1"/>
      <color rgb="000EA5A0"/>
      <sz val="14"/>
    </font>
    <font>
      <name val="Arial"/>
      <b val="1"/>
      <color rgb="00FFFFFF"/>
      <sz val="11"/>
    </font>
    <font>
      <name val="Arial"/>
      <b val="1"/>
      <color rgb="00006400"/>
      <sz val="11"/>
    </font>
    <font>
      <name val="Arial"/>
      <b val="1"/>
      <color rgb="001E3A5F"/>
      <sz val="14"/>
    </font>
    <font>
      <name val="Arial"/>
      <b val="1"/>
      <color rgb="000EA5A0"/>
      <sz val="18"/>
    </font>
    <font>
      <name val="Arial"/>
      <b val="1"/>
      <color rgb="00888888"/>
      <sz val="9"/>
    </font>
    <font>
      <name val="Arial"/>
      <color rgb="00888888"/>
      <sz val="9"/>
    </font>
    <font>
      <name val="Arial"/>
      <b val="1"/>
      <color rgb="0027AE60"/>
      <sz val="12"/>
    </font>
    <font>
      <name val="Arial"/>
      <color rgb="00CCCCCC"/>
      <sz val="12"/>
    </font>
    <font>
      <name val="Arial"/>
      <i val="1"/>
      <color rgb="00E67E22"/>
      <sz val="10"/>
    </font>
    <font>
      <name val="Arial"/>
      <i val="1"/>
      <color rgb="000EA5A0"/>
      <sz val="10"/>
    </font>
    <font>
      <name val="Arial"/>
      <color rgb="002980B9"/>
      <sz val="10"/>
    </font>
    <font>
      <name val="Arial"/>
      <color rgb="00F39C12"/>
      <sz val="11"/>
    </font>
    <font>
      <name val="Arial"/>
      <color rgb="00E74C3C"/>
      <sz val="10"/>
    </font>
    <font>
      <name val="Arial"/>
      <color rgb="0027AE60"/>
      <sz val="10"/>
    </font>
    <font>
      <name val="Arial"/>
      <color rgb="00888888"/>
      <sz val="10"/>
    </font>
    <font>
      <name val="Arial"/>
      <b val="1"/>
      <color rgb="008E44AD"/>
      <sz val="11"/>
    </font>
    <font>
      <name val="Arial"/>
      <b val="1"/>
      <color rgb="0027AE60"/>
      <sz val="10"/>
    </font>
    <font>
      <name val="Arial"/>
      <color rgb="00888888"/>
      <sz val="11"/>
    </font>
    <font>
      <name val="Arial"/>
      <b val="1"/>
      <color rgb="008E44AD"/>
      <sz val="12"/>
    </font>
    <font>
      <name val="Arial"/>
      <b val="1"/>
      <color rgb="008E44AD"/>
      <sz val="14"/>
    </font>
    <font>
      <name val="Arial"/>
      <b val="1"/>
      <color rgb="0027AE60"/>
      <sz val="14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EA5A0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34495E"/>
      </patternFill>
    </fill>
    <fill>
      <patternFill patternType="solid">
        <fgColor rgb="00F5F7FA"/>
      </patternFill>
    </fill>
    <fill>
      <patternFill patternType="solid">
        <fgColor rgb="00E0F7F5"/>
      </patternFill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8E44AD"/>
      </patternFill>
    </fill>
    <fill>
      <patternFill patternType="solid">
        <fgColor rgb="006C3483"/>
      </patternFill>
    </fill>
    <fill>
      <patternFill patternType="solid">
        <fgColor rgb="00F3E5F5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medium">
        <color rgb="001E3A5F"/>
      </top>
      <bottom style="medium">
        <color rgb="001E3A5F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8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 wrapText="1"/>
    </xf>
    <xf numFmtId="164" fontId="12" fillId="10" borderId="2" applyAlignment="1" pivotButton="0" quotePrefix="0" xfId="0">
      <alignment horizontal="right" vertical="center"/>
    </xf>
    <xf numFmtId="0" fontId="0" fillId="0" borderId="2" pivotButton="0" quotePrefix="0" xfId="0"/>
    <xf numFmtId="164" fontId="13" fillId="10" borderId="2" applyAlignment="1" pivotButton="0" quotePrefix="0" xfId="0">
      <alignment horizontal="right" vertical="center"/>
    </xf>
    <xf numFmtId="0" fontId="14" fillId="0" borderId="0" pivotButton="0" quotePrefix="0" xfId="0"/>
    <xf numFmtId="0" fontId="15" fillId="0" borderId="0" pivotButton="0" quotePrefix="0" xfId="0"/>
    <xf numFmtId="0" fontId="10" fillId="6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6" fillId="7" borderId="1" pivotButton="0" quotePrefix="0" xfId="0"/>
    <xf numFmtId="0" fontId="16" fillId="7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6" fillId="4" borderId="1" pivotButton="0" quotePrefix="0" xfId="0"/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4" borderId="1" pivotButton="0" quotePrefix="0" xfId="0"/>
    <xf numFmtId="0" fontId="18" fillId="7" borderId="1" pivotButton="0" quotePrefix="0" xfId="0"/>
    <xf numFmtId="0" fontId="12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0" fillId="11" borderId="0" pivotButton="0" quotePrefix="0" xfId="0"/>
    <xf numFmtId="0" fontId="1" fillId="11" borderId="0" applyAlignment="1" pivotButton="0" quotePrefix="0" xfId="0">
      <alignment horizontal="left" vertical="bottom"/>
    </xf>
    <xf numFmtId="0" fontId="2" fillId="11" borderId="0" applyAlignment="1" pivotButton="0" quotePrefix="0" xfId="0">
      <alignment horizontal="left" vertical="top"/>
    </xf>
    <xf numFmtId="0" fontId="7" fillId="1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left" vertical="center" wrapText="1"/>
    </xf>
    <xf numFmtId="165" fontId="25" fillId="13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165" fontId="27" fillId="0" borderId="0" pivotButton="0" quotePrefix="0" xfId="0"/>
    <xf numFmtId="0" fontId="28" fillId="0" borderId="0" pivotButton="0" quotePrefix="0" xfId="0"/>
    <xf numFmtId="165" fontId="29" fillId="0" borderId="0" pivotButton="0" quotePrefix="0" xfId="0"/>
    <xf numFmtId="0" fontId="16" fillId="0" borderId="0" pivotButton="0" quotePrefix="0" xfId="0"/>
    <xf numFmtId="165" fontId="3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B2DF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A5A0"/>
    <outlinePr summaryBelow="1" summaryRight="1"/>
    <pageSetUpPr/>
  </sheetPr>
  <dimension ref="A1:G6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6" customWidth="1" min="4" max="4"/>
    <col width="52" customWidth="1" min="5" max="5"/>
    <col width="14" customWidth="1" min="6" max="6"/>
    <col width="3" customWidth="1" min="7" max="7"/>
  </cols>
  <sheetData>
    <row r="1" ht="40" customHeight="1">
      <c r="A1" s="1" t="n"/>
      <c r="B1" s="2" t="inlineStr">
        <is>
          <t>LeadDrive CRM v2</t>
        </is>
      </c>
      <c r="C1" s="1" t="n"/>
      <c r="D1" s="1" t="n"/>
      <c r="E1" s="1" t="n"/>
      <c r="F1" s="1" t="n"/>
      <c r="G1" s="1" t="n"/>
    </row>
    <row r="2" ht="22" customHeight="1">
      <c r="A2" s="1" t="n"/>
      <c r="B2" s="3" t="inlineStr">
        <is>
          <t>Pricing Calculator — Configure Your Perfect Package</t>
        </is>
      </c>
      <c r="C2" s="1" t="n"/>
      <c r="D2" s="1" t="n"/>
      <c r="E2" s="1" t="n"/>
      <c r="F2" s="1" t="n"/>
      <c r="G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</row>
    <row r="5" ht="30" customHeight="1">
      <c r="B5" s="4" t="inlineStr">
        <is>
          <t>CLIENT INFORMATION</t>
        </is>
      </c>
      <c r="C5" s="5" t="n"/>
      <c r="D5" s="5" t="n"/>
      <c r="E5" s="5" t="n"/>
      <c r="F5" s="5" t="n"/>
    </row>
    <row r="6" ht="28" customHeight="1">
      <c r="B6" s="6" t="inlineStr">
        <is>
          <t>Company Name:</t>
        </is>
      </c>
      <c r="C6" s="7" t="inlineStr"/>
      <c r="D6" s="8" t="inlineStr">
        <is>
          <t>Enter company name</t>
        </is>
      </c>
    </row>
    <row r="7" ht="28" customHeight="1">
      <c r="B7" s="6" t="inlineStr">
        <is>
          <t>Number of Users:</t>
        </is>
      </c>
      <c r="C7" s="7" t="n">
        <v>5</v>
      </c>
      <c r="D7" s="8" t="inlineStr">
        <is>
          <t>Min 1 user</t>
        </is>
      </c>
    </row>
    <row r="8" ht="28" customHeight="1">
      <c r="B8" s="6" t="inlineStr">
        <is>
          <t>Billing Period:</t>
        </is>
      </c>
      <c r="C8" s="7" t="inlineStr">
        <is>
          <t>Annual</t>
        </is>
      </c>
      <c r="D8" s="8" t="inlineStr">
        <is>
          <t>Monthly / Annual (20% discount)</t>
        </is>
      </c>
    </row>
    <row r="9" ht="28" customHeight="1">
      <c r="B9" s="6" t="inlineStr">
        <is>
          <t>Currency:</t>
        </is>
      </c>
      <c r="C9" s="7" t="inlineStr">
        <is>
          <t>USD</t>
        </is>
      </c>
    </row>
    <row r="11" ht="30" customHeight="1">
      <c r="B11" s="4" t="inlineStr">
        <is>
          <t>BASE PLAN  (select one — mark X in column F)</t>
        </is>
      </c>
      <c r="C11" s="5" t="n"/>
      <c r="D11" s="5" t="n"/>
      <c r="E11" s="5" t="n"/>
      <c r="F11" s="5" t="n"/>
    </row>
    <row r="12" ht="24" customHeight="1">
      <c r="B12" s="9" t="inlineStr">
        <is>
          <t>Plan</t>
        </is>
      </c>
      <c r="C12" s="9" t="inlineStr">
        <is>
          <t>Price/User/Mo</t>
        </is>
      </c>
      <c r="D12" s="9" t="inlineStr">
        <is>
          <t>Key Modules</t>
        </is>
      </c>
      <c r="E12" s="9" t="inlineStr">
        <is>
          <t>What's Included</t>
        </is>
      </c>
      <c r="F12" s="9" t="inlineStr">
        <is>
          <t>Select</t>
        </is>
      </c>
    </row>
    <row r="13" ht="48" customHeight="1">
      <c r="B13" s="10" t="inlineStr">
        <is>
          <t>Starter</t>
        </is>
      </c>
      <c r="C13" s="11" t="n">
        <v>29</v>
      </c>
      <c r="D13" s="12" t="inlineStr">
        <is>
          <t>6 modules</t>
        </is>
      </c>
      <c r="E13" s="13" t="inlineStr">
        <is>
          <t>Companies, Contacts, Deals (Kanban+Detail), Leads, Tasks, Products, Dashboard, Search, Dark Mode, 3 Languages</t>
        </is>
      </c>
      <c r="F13" s="14" t="inlineStr"/>
    </row>
    <row r="14" ht="48" customHeight="1">
      <c r="B14" s="15" t="inlineStr">
        <is>
          <t>Business</t>
        </is>
      </c>
      <c r="C14" s="16" t="n">
        <v>59</v>
      </c>
      <c r="D14" s="17" t="inlineStr">
        <is>
          <t>13 modules</t>
        </is>
      </c>
      <c r="E14" s="18" t="inlineStr">
        <is>
          <t>Everything in Starter + Tickets, Knowledge Base, Contracts, Agent Desktop, Agent Calendar, Roles &amp; Permissions, SLA Policies</t>
        </is>
      </c>
      <c r="F14" s="19" t="inlineStr"/>
    </row>
    <row r="15" ht="48" customHeight="1">
      <c r="B15" s="10" t="inlineStr">
        <is>
          <t>Professional</t>
        </is>
      </c>
      <c r="C15" s="11" t="n">
        <v>99</v>
      </c>
      <c r="D15" s="12" t="inlineStr">
        <is>
          <t>26 modules</t>
        </is>
      </c>
      <c r="E15" s="13" t="inlineStr">
        <is>
          <t>Everything in Business + Invoices, Offers, Campaigns, Segments, Email Templates, Email Log, Campaign ROI, AI Scoring, Journeys, Events, Reports, Workflows, Lead Rules, Web-to-Lead, Projects</t>
        </is>
      </c>
      <c r="F15" s="14" t="inlineStr"/>
    </row>
    <row r="16" ht="48" customHeight="1">
      <c r="B16" s="20" t="inlineStr">
        <is>
          <t>Enterprise</t>
        </is>
      </c>
      <c r="C16" s="21" t="n">
        <v>149</v>
      </c>
      <c r="D16" s="22" t="inlineStr">
        <is>
          <t>39 modules</t>
        </is>
      </c>
      <c r="E16" s="23" t="inlineStr">
        <is>
          <t>Everything in Professional + Pricing Engine, Profitability, Budgeting (FP&amp;A), Finance, Inbox, Portal Users, SMTP, Custom Fields, Channels, Budget Config, Sales Forecast</t>
        </is>
      </c>
      <c r="F16" s="24" t="inlineStr">
        <is>
          <t>X</t>
        </is>
      </c>
    </row>
    <row r="19" ht="30" customHeight="1">
      <c r="B19" s="4" t="inlineStr">
        <is>
          <t>ADD-ON MODULES  (mark X in column F to add)</t>
        </is>
      </c>
      <c r="C19" s="5" t="n"/>
      <c r="D19" s="5" t="n"/>
      <c r="E19" s="5" t="n"/>
      <c r="F19" s="5" t="n"/>
    </row>
    <row r="20">
      <c r="B20" s="9" t="inlineStr">
        <is>
          <t>Add-On</t>
        </is>
      </c>
      <c r="C20" s="9" t="inlineStr">
        <is>
          <t>Price/Month</t>
        </is>
      </c>
      <c r="D20" s="9" t="inlineStr">
        <is>
          <t>Type</t>
        </is>
      </c>
      <c r="E20" s="9" t="inlineStr">
        <is>
          <t>Description</t>
        </is>
      </c>
      <c r="F20" s="9" t="inlineStr">
        <is>
          <t>Select</t>
        </is>
      </c>
    </row>
    <row r="21" ht="24" customHeight="1">
      <c r="B21" s="25" t="inlineStr">
        <is>
          <t>AI ENGINE — MAESTRO</t>
        </is>
      </c>
      <c r="C21" s="26" t="n"/>
      <c r="D21" s="26" t="n"/>
      <c r="E21" s="26" t="n"/>
      <c r="F21" s="26" t="n"/>
    </row>
    <row r="22" ht="26" customHeight="1">
      <c r="B22" s="27" t="inlineStr">
        <is>
          <t>AI Chat Assistant (CRM-aware)</t>
        </is>
      </c>
      <c r="C22" s="11" t="n">
        <v>199</v>
      </c>
      <c r="D22" s="12" t="inlineStr">
        <is>
          <t>Flat</t>
        </is>
      </c>
      <c r="E22" s="13" t="inlineStr">
        <is>
          <t>Floating chatbot that knows all your deals, companies, pipeline context</t>
        </is>
      </c>
      <c r="F22" s="14" t="inlineStr"/>
    </row>
    <row r="23" ht="26" customHeight="1">
      <c r="B23" s="28" t="inlineStr">
        <is>
          <t>AI Lead Scoring</t>
        </is>
      </c>
      <c r="C23" s="16" t="n">
        <v>99</v>
      </c>
      <c r="D23" s="17" t="inlineStr">
        <is>
          <t>Flat</t>
        </is>
      </c>
      <c r="E23" s="18" t="inlineStr">
        <is>
          <t>Automatic A-F lead scoring with reasoning (Claude Sonnet 4.6)</t>
        </is>
      </c>
      <c r="F23" s="19" t="inlineStr"/>
    </row>
    <row r="24" ht="26" customHeight="1">
      <c r="B24" s="27" t="inlineStr">
        <is>
          <t>AI Sentiment Analysis</t>
        </is>
      </c>
      <c r="C24" s="11" t="n">
        <v>79</v>
      </c>
      <c r="D24" s="12" t="inlineStr">
        <is>
          <t>Flat</t>
        </is>
      </c>
      <c r="E24" s="13" t="inlineStr">
        <is>
          <t>Client relationship tone analysis: positive/neutral/negative + trend + risk</t>
        </is>
      </c>
      <c r="F24" s="14" t="inlineStr"/>
    </row>
    <row r="25" ht="26" customHeight="1">
      <c r="B25" s="28" t="inlineStr">
        <is>
          <t>AI Smart Tasks</t>
        </is>
      </c>
      <c r="C25" s="16" t="n">
        <v>49</v>
      </c>
      <c r="D25" s="17" t="inlineStr">
        <is>
          <t>Flat</t>
        </is>
      </c>
      <c r="E25" s="18" t="inlineStr">
        <is>
          <t>Auto-generate 4 contextual tasks for each sales manager</t>
        </is>
      </c>
      <c r="F25" s="19" t="inlineStr"/>
    </row>
    <row r="26" ht="26" customHeight="1">
      <c r="B26" s="27" t="inlineStr">
        <is>
          <t>AI Text Generation (Email/SMS)</t>
        </is>
      </c>
      <c r="C26" s="11" t="n">
        <v>69</v>
      </c>
      <c r="D26" s="12" t="inlineStr">
        <is>
          <t>Flat</t>
        </is>
      </c>
      <c r="E26" s="13" t="inlineStr">
        <is>
          <t>Professional email &amp; SMS generation with tone control in 3 languages</t>
        </is>
      </c>
      <c r="F26" s="14" t="inlineStr"/>
    </row>
    <row r="27" ht="26" customHeight="1">
      <c r="B27" s="28" t="inlineStr">
        <is>
          <t>AI Support Agent</t>
        </is>
      </c>
      <c r="C27" s="16" t="n">
        <v>149</v>
      </c>
      <c r="D27" s="17" t="inlineStr">
        <is>
          <t>Flat</t>
        </is>
      </c>
      <c r="E27" s="18" t="inlineStr">
        <is>
          <t>Auto-replies + ticket summary + troubleshooting steps from Knowledge Base</t>
        </is>
      </c>
      <c r="F27" s="19" t="inlineStr"/>
    </row>
    <row r="28" ht="26" customHeight="1">
      <c r="B28" s="27" t="inlineStr">
        <is>
          <t>AI Portal Support (24/7)</t>
        </is>
      </c>
      <c r="C28" s="11" t="n">
        <v>199</v>
      </c>
      <c r="D28" s="12" t="inlineStr">
        <is>
          <t>Flat</t>
        </is>
      </c>
      <c r="E28" s="13" t="inlineStr">
        <is>
          <t>Customer-facing AI chat with auto-escalation to human + ticket creation</t>
        </is>
      </c>
      <c r="F28" s="14" t="inlineStr"/>
    </row>
    <row r="29" ht="26" customHeight="1">
      <c r="B29" s="28" t="inlineStr">
        <is>
          <t>AI Budget Narrative</t>
        </is>
      </c>
      <c r="C29" s="16" t="n">
        <v>99</v>
      </c>
      <c r="D29" s="17" t="inlineStr">
        <is>
          <t>Flat</t>
        </is>
      </c>
      <c r="E29" s="18" t="inlineStr">
        <is>
          <t>CFO-level FP&amp;A commentary: variance analysis, recommendations</t>
        </is>
      </c>
      <c r="F29" s="19" t="inlineStr"/>
    </row>
    <row r="30" ht="26" customHeight="1">
      <c r="B30" s="27" t="inlineStr">
        <is>
          <t>AI Profitability Insights</t>
        </is>
      </c>
      <c r="C30" s="11" t="n">
        <v>79</v>
      </c>
      <c r="D30" s="12" t="inlineStr">
        <is>
          <t>Flat</t>
        </is>
      </c>
      <c r="E30" s="13" t="inlineStr">
        <is>
          <t>Automated insights on client/employee profitability trends</t>
        </is>
      </c>
      <c r="F30" s="14" t="inlineStr"/>
    </row>
    <row r="31" ht="26" customHeight="1">
      <c r="B31" s="28" t="inlineStr">
        <is>
          <t>AI Full Bundle (all 9 above)</t>
        </is>
      </c>
      <c r="C31" s="16" t="n">
        <v>699</v>
      </c>
      <c r="D31" s="17" t="inlineStr">
        <is>
          <t>Flat</t>
        </is>
      </c>
      <c r="E31" s="18" t="inlineStr">
        <is>
          <t>All AI features — save $322/mo vs buying individually ($1,021)</t>
        </is>
      </c>
      <c r="F31" s="19" t="inlineStr"/>
    </row>
    <row r="32" ht="24" customHeight="1">
      <c r="B32" s="25" t="inlineStr">
        <is>
          <t>COMMUNICATION</t>
        </is>
      </c>
      <c r="C32" s="26" t="n"/>
      <c r="D32" s="26" t="n"/>
      <c r="E32" s="26" t="n"/>
      <c r="F32" s="26" t="n"/>
    </row>
    <row r="33" ht="26" customHeight="1">
      <c r="B33" s="27" t="inlineStr">
        <is>
          <t>WhatsApp Cloud API</t>
        </is>
      </c>
      <c r="C33" s="11" t="n">
        <v>49</v>
      </c>
      <c r="D33" s="12" t="inlineStr">
        <is>
          <t>Flat</t>
        </is>
      </c>
      <c r="E33" s="13" t="inlineStr">
        <is>
          <t>Direct WhatsApp Business messaging integration</t>
        </is>
      </c>
      <c r="F33" s="14" t="inlineStr"/>
    </row>
    <row r="34" ht="26" customHeight="1">
      <c r="B34" s="28" t="inlineStr">
        <is>
          <t>Omnichannel Inbox (FB+TG+VK)</t>
        </is>
      </c>
      <c r="C34" s="16" t="n">
        <v>99</v>
      </c>
      <c r="D34" s="17" t="inlineStr">
        <is>
          <t>Flat</t>
        </is>
      </c>
      <c r="E34" s="18" t="inlineStr">
        <is>
          <t>Facebook Messenger + Telegram + VKontakte channel connectors</t>
        </is>
      </c>
      <c r="F34" s="19" t="inlineStr"/>
    </row>
    <row r="35" ht="24" customHeight="1">
      <c r="B35" s="25" t="inlineStr">
        <is>
          <t>CUSTOMER PORTAL</t>
        </is>
      </c>
      <c r="C35" s="26" t="n"/>
      <c r="D35" s="26" t="n"/>
      <c r="E35" s="26" t="n"/>
      <c r="F35" s="26" t="n"/>
    </row>
    <row r="36" ht="26" customHeight="1">
      <c r="B36" s="27" t="inlineStr">
        <is>
          <t>Customer Portal (self-service)</t>
        </is>
      </c>
      <c r="C36" s="11" t="n">
        <v>99</v>
      </c>
      <c r="D36" s="12" t="inlineStr">
        <is>
          <t>Flat</t>
        </is>
      </c>
      <c r="E36" s="13" t="inlineStr">
        <is>
          <t>Login, tickets, knowledge base, chat for your customers</t>
        </is>
      </c>
      <c r="F36" s="14" t="inlineStr"/>
    </row>
    <row r="37" ht="24" customHeight="1">
      <c r="B37" s="25" t="inlineStr">
        <is>
          <t>FINANCE ADD-ONS</t>
        </is>
      </c>
      <c r="C37" s="26" t="n"/>
      <c r="D37" s="26" t="n"/>
      <c r="E37" s="26" t="n"/>
      <c r="F37" s="26" t="n"/>
    </row>
    <row r="38" ht="26" customHeight="1">
      <c r="B38" s="28" t="inlineStr">
        <is>
          <t>Recurring Invoices</t>
        </is>
      </c>
      <c r="C38" s="16" t="n">
        <v>29</v>
      </c>
      <c r="D38" s="17" t="inlineStr">
        <is>
          <t>Flat</t>
        </is>
      </c>
      <c r="E38" s="18" t="inlineStr">
        <is>
          <t>Automatic monthly/quarterly invoice generation</t>
        </is>
      </c>
      <c r="F38" s="19" t="inlineStr"/>
    </row>
    <row r="39" ht="26" customHeight="1">
      <c r="B39" s="27" t="inlineStr">
        <is>
          <t>Multi-Currency + FX Rates</t>
        </is>
      </c>
      <c r="C39" s="11" t="n">
        <v>39</v>
      </c>
      <c r="D39" s="12" t="inlineStr">
        <is>
          <t>Flat</t>
        </is>
      </c>
      <c r="E39" s="13" t="inlineStr">
        <is>
          <t>Work in AZN, USD, EUR, RUB with auto-conversion</t>
        </is>
      </c>
      <c r="F39" s="14" t="inlineStr"/>
    </row>
    <row r="40" ht="24" customHeight="1">
      <c r="B40" s="25" t="inlineStr">
        <is>
          <t>PREMIUM SUPPORT</t>
        </is>
      </c>
      <c r="C40" s="26" t="n"/>
      <c r="D40" s="26" t="n"/>
      <c r="E40" s="26" t="n"/>
      <c r="F40" s="26" t="n"/>
    </row>
    <row r="41" ht="26" customHeight="1">
      <c r="B41" s="28" t="inlineStr">
        <is>
          <t>Priority Support (24/7)</t>
        </is>
      </c>
      <c r="C41" s="16" t="n">
        <v>199</v>
      </c>
      <c r="D41" s="17" t="inlineStr">
        <is>
          <t>Flat</t>
        </is>
      </c>
      <c r="E41" s="18" t="inlineStr">
        <is>
          <t>Dedicated support engineer, 1-hour response SLA</t>
        </is>
      </c>
      <c r="F41" s="19" t="inlineStr"/>
    </row>
    <row r="42" ht="26" customHeight="1">
      <c r="B42" s="27" t="inlineStr">
        <is>
          <t>Onboarding Package</t>
        </is>
      </c>
      <c r="C42" s="11" t="n">
        <v>499</v>
      </c>
      <c r="D42" s="12" t="inlineStr">
        <is>
          <t>One-time</t>
        </is>
      </c>
      <c r="E42" s="13" t="inlineStr">
        <is>
          <t>Data migration + team training + CRM setup assistance</t>
        </is>
      </c>
      <c r="F42" s="14" t="inlineStr"/>
    </row>
    <row r="43" ht="26" customHeight="1">
      <c r="B43" s="28" t="inlineStr">
        <is>
          <t>Custom Integration</t>
        </is>
      </c>
      <c r="C43" s="16" t="n">
        <v>299</v>
      </c>
      <c r="D43" s="17" t="inlineStr">
        <is>
          <t>Flat</t>
        </is>
      </c>
      <c r="E43" s="18" t="inlineStr">
        <is>
          <t>API integration with your existing systems (ERP, accounting, etc.)</t>
        </is>
      </c>
      <c r="F43" s="19" t="inlineStr"/>
    </row>
    <row r="45" ht="32" customHeight="1">
      <c r="B45" s="29" t="inlineStr">
        <is>
          <t>COST SUMMARY</t>
        </is>
      </c>
      <c r="C45" s="1" t="n"/>
      <c r="D45" s="1" t="n"/>
      <c r="E45" s="1" t="n"/>
      <c r="F45" s="1" t="n"/>
    </row>
    <row r="46" ht="28" customHeight="1">
      <c r="B46" s="30" t="inlineStr">
        <is>
          <t>Selected Plan:</t>
        </is>
      </c>
      <c r="C46" s="31">
        <f>IF(F13="X",B13,IF(F14="X",B14,IF(F15="X",B15,IF(F16="X",B16,"None"))))</f>
        <v/>
      </c>
    </row>
    <row r="47" ht="28" customHeight="1">
      <c r="B47" s="30" t="inlineStr">
        <is>
          <t>Plan Price / User / Month:</t>
        </is>
      </c>
      <c r="C47" s="32">
        <f>IF(F13="X",C13,IF(F14="X",C14,IF(F15="X",C15,IF(F16="X",C16,0))))</f>
        <v/>
      </c>
    </row>
    <row r="48" ht="28" customHeight="1">
      <c r="B48" s="30" t="inlineStr">
        <is>
          <t>Number of Users:</t>
        </is>
      </c>
      <c r="C48" s="31">
        <f>C7</f>
        <v/>
      </c>
    </row>
    <row r="49" ht="28" customHeight="1">
      <c r="B49" s="30" t="inlineStr">
        <is>
          <t>Base Plan Monthly Cost:</t>
        </is>
      </c>
      <c r="C49" s="32">
        <f>C47*C48</f>
        <v/>
      </c>
    </row>
    <row r="50" ht="28" customHeight="1"/>
    <row r="51" ht="28" customHeight="1">
      <c r="B51" s="30" t="inlineStr">
        <is>
          <t>Add-Ons Monthly Total:</t>
        </is>
      </c>
      <c r="C51" s="32">
        <f>IF(F22="X",C22,0)+IF(F23="X",C23,0)+IF(F24="X",C24,0)+IF(F25="X",C25,0)+IF(F26="X",C26,0)+IF(F27="X",C27,0)+IF(F28="X",C28,0)+IF(F29="X",C29,0)+IF(F30="X",C30,0)+IF(F31="X",C31,0)+IF(F33="X",C33,0)+IF(F34="X",C34,0)+IF(F36="X",C36,0)+IF(F38="X",C38,0)+IF(F39="X",C39,0)+IF(F41="X",C41,0)+IF(F42="X",C42,0)+IF(F43="X",C43,0)</f>
        <v/>
      </c>
    </row>
    <row r="52" ht="28" customHeight="1"/>
    <row r="53" ht="28" customHeight="1">
      <c r="B53" s="30" t="inlineStr">
        <is>
          <t>Monthly Subtotal:</t>
        </is>
      </c>
      <c r="C53" s="32">
        <f>C49+C51</f>
        <v/>
      </c>
    </row>
    <row r="54" ht="28" customHeight="1">
      <c r="B54" s="30" t="inlineStr">
        <is>
          <t>Annual Discount (20%):</t>
        </is>
      </c>
      <c r="C54" s="32">
        <f>IF(C8="Annual",C53*0.20,0)</f>
        <v/>
      </c>
    </row>
    <row r="55" ht="28" customHeight="1"/>
    <row r="56" ht="28" customHeight="1">
      <c r="B56" s="33" t="inlineStr">
        <is>
          <t>MONTHLY TOTAL:</t>
        </is>
      </c>
      <c r="C56" s="34">
        <f>C53-C54</f>
        <v/>
      </c>
      <c r="D56" s="35" t="n"/>
      <c r="E56" s="35" t="n"/>
      <c r="F56" s="35" t="n"/>
    </row>
    <row r="57" ht="28" customHeight="1">
      <c r="B57" s="33" t="inlineStr">
        <is>
          <t>ANNUAL TOTAL:</t>
        </is>
      </c>
      <c r="C57" s="36">
        <f>C56*12</f>
        <v/>
      </c>
      <c r="D57" s="35" t="n"/>
      <c r="E57" s="35" t="n"/>
      <c r="F57" s="35" t="n"/>
    </row>
    <row r="58" ht="28" customHeight="1">
      <c r="B58" s="33" t="inlineStr">
        <is>
          <t>Effective Cost / User / Month:</t>
        </is>
      </c>
      <c r="C58" s="34">
        <f>IF(C48&gt;0,C56/C48,"—")</f>
        <v/>
      </c>
      <c r="D58" s="35" t="n"/>
      <c r="E58" s="35" t="n"/>
      <c r="F58" s="35" t="n"/>
    </row>
    <row r="60" ht="20" customHeight="1">
      <c r="B60" s="37" t="inlineStr">
        <is>
          <t>Notes:</t>
        </is>
      </c>
    </row>
    <row r="61">
      <c r="B61" s="38" t="inlineStr">
        <is>
          <t>1. Mark exactly ONE base plan with X in column F (rows 13-16)</t>
        </is>
      </c>
    </row>
    <row r="62">
      <c r="B62" s="38" t="inlineStr">
        <is>
          <t>2. Mark desired add-ons with X in column F</t>
        </is>
      </c>
    </row>
    <row r="63">
      <c r="B63" s="38" t="inlineStr">
        <is>
          <t>3. Annual billing gives 20% discount on base plan + add-ons</t>
        </is>
      </c>
    </row>
    <row r="64">
      <c r="B64" s="38" t="inlineStr">
        <is>
          <t>4. AI Full Bundle saves $322/mo vs purchasing all AI features individually</t>
        </is>
      </c>
    </row>
    <row r="65">
      <c r="B65" s="38" t="inlineStr">
        <is>
          <t>5. Onboarding Package is a one-time fee (not included in monthly/annual totals)</t>
        </is>
      </c>
    </row>
    <row r="66">
      <c r="B66" s="38" t="inlineStr">
        <is>
          <t>6. All prices in USD. Contact sales for AZN/EUR/RUB pricing.</t>
        </is>
      </c>
    </row>
  </sheetData>
  <mergeCells count="11">
    <mergeCell ref="B21:F21"/>
    <mergeCell ref="B2:F2"/>
    <mergeCell ref="B11:F11"/>
    <mergeCell ref="B19:F19"/>
    <mergeCell ref="B5:F5"/>
    <mergeCell ref="B37:F37"/>
    <mergeCell ref="B45:F45"/>
    <mergeCell ref="B1:F1"/>
    <mergeCell ref="B32:F32"/>
    <mergeCell ref="B40:F40"/>
    <mergeCell ref="B35:F35"/>
  </mergeCells>
  <conditionalFormatting sqref="B13:F16">
    <cfRule type="cellIs" priority="1" operator="equal" dxfId="0">
      <formula>"X"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G18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6" customHeight="1">
      <c r="A1" s="1" t="n"/>
      <c r="B1" s="2" t="inlineStr">
        <is>
          <t>LeadDrive CRM v2 — Feature Comparison Matrix</t>
        </is>
      </c>
      <c r="C1" s="1" t="n"/>
      <c r="D1" s="1" t="n"/>
      <c r="E1" s="1" t="n"/>
      <c r="F1" s="1" t="n"/>
      <c r="G1" s="1" t="n"/>
    </row>
    <row r="2" ht="22" customHeight="1">
      <c r="A2" s="1" t="n"/>
      <c r="B2" s="3" t="inlineStr">
        <is>
          <t>128 Features across 4 Plans</t>
        </is>
      </c>
      <c r="C2" s="1" t="n"/>
      <c r="D2" s="1" t="n"/>
      <c r="E2" s="1" t="n"/>
      <c r="F2" s="1" t="n"/>
      <c r="G2" s="1" t="n"/>
    </row>
    <row r="4">
      <c r="B4" s="39" t="inlineStr">
        <is>
          <t>Feature</t>
        </is>
      </c>
      <c r="C4" s="39" t="inlineStr">
        <is>
          <t>Description</t>
        </is>
      </c>
      <c r="D4" s="39" t="inlineStr">
        <is>
          <t>Starter</t>
        </is>
      </c>
      <c r="E4" s="39" t="inlineStr">
        <is>
          <t>Business</t>
        </is>
      </c>
      <c r="F4" s="39" t="inlineStr">
        <is>
          <t>Professional</t>
        </is>
      </c>
      <c r="G4" s="39" t="inlineStr">
        <is>
          <t>Enterprise</t>
        </is>
      </c>
    </row>
    <row r="5" ht="26" customHeight="1">
      <c r="B5" s="25" t="inlineStr">
        <is>
          <t>SALES / CRM CORE (29)</t>
        </is>
      </c>
      <c r="C5" s="26" t="n"/>
      <c r="D5" s="26" t="n"/>
      <c r="E5" s="26" t="n"/>
      <c r="F5" s="26" t="n"/>
      <c r="G5" s="26" t="n"/>
    </row>
    <row r="6" ht="22" customHeight="1">
      <c r="B6" s="40" t="inlineStr">
        <is>
          <t>Deals + Kanban Board</t>
        </is>
      </c>
      <c r="C6" s="41" t="inlineStr">
        <is>
          <t>Drag-and-drop pipeline management</t>
        </is>
      </c>
      <c r="D6" s="42" t="inlineStr">
        <is>
          <t>✓</t>
        </is>
      </c>
      <c r="E6" s="42" t="inlineStr">
        <is>
          <t>✓</t>
        </is>
      </c>
      <c r="F6" s="42" t="inlineStr">
        <is>
          <t>✓</t>
        </is>
      </c>
      <c r="G6" s="42" t="inlineStr">
        <is>
          <t>✓</t>
        </is>
      </c>
    </row>
    <row r="7" ht="22" customHeight="1">
      <c r="B7" s="43" t="inlineStr">
        <is>
          <t>Deal Detail Page (9 tabs)</t>
        </is>
      </c>
      <c r="C7" s="44" t="inlineStr">
        <is>
          <t>Full deal card with all information</t>
        </is>
      </c>
      <c r="D7" s="45" t="inlineStr">
        <is>
          <t>✓</t>
        </is>
      </c>
      <c r="E7" s="45" t="inlineStr">
        <is>
          <t>✓</t>
        </is>
      </c>
      <c r="F7" s="45" t="inlineStr">
        <is>
          <t>✓</t>
        </is>
      </c>
      <c r="G7" s="45" t="inlineStr">
        <is>
          <t>✓</t>
        </is>
      </c>
    </row>
    <row r="8" ht="22" customHeight="1">
      <c r="B8" s="40" t="inlineStr">
        <is>
          <t>Deal Pipeline (chevron)</t>
        </is>
      </c>
      <c r="C8" s="41" t="inlineStr">
        <is>
          <t>Visual stage progression</t>
        </is>
      </c>
      <c r="D8" s="42" t="inlineStr">
        <is>
          <t>✓</t>
        </is>
      </c>
      <c r="E8" s="42" t="inlineStr">
        <is>
          <t>✓</t>
        </is>
      </c>
      <c r="F8" s="42" t="inlineStr">
        <is>
          <t>✓</t>
        </is>
      </c>
      <c r="G8" s="42" t="inlineStr">
        <is>
          <t>✓</t>
        </is>
      </c>
    </row>
    <row r="9" ht="22" customHeight="1">
      <c r="B9" s="43" t="inlineStr">
        <is>
          <t>Deal KPI Cards</t>
        </is>
      </c>
      <c r="C9" s="44" t="inlineStr">
        <is>
          <t>Days in funnel, at stage, value, confidence</t>
        </is>
      </c>
      <c r="D9" s="45" t="inlineStr">
        <is>
          <t>✓</t>
        </is>
      </c>
      <c r="E9" s="45" t="inlineStr">
        <is>
          <t>✓</t>
        </is>
      </c>
      <c r="F9" s="45" t="inlineStr">
        <is>
          <t>✓</t>
        </is>
      </c>
      <c r="G9" s="45" t="inlineStr">
        <is>
          <t>✓</t>
        </is>
      </c>
    </row>
    <row r="10" ht="22" customHeight="1">
      <c r="B10" s="40" t="inlineStr">
        <is>
          <t>Deal Confidence Slider</t>
        </is>
      </c>
      <c r="C10" s="41" t="inlineStr">
        <is>
          <t>0-100% slider with live save</t>
        </is>
      </c>
      <c r="D10" s="42" t="inlineStr">
        <is>
          <t>✓</t>
        </is>
      </c>
      <c r="E10" s="42" t="inlineStr">
        <is>
          <t>✓</t>
        </is>
      </c>
      <c r="F10" s="42" t="inlineStr">
        <is>
          <t>✓</t>
        </is>
      </c>
      <c r="G10" s="42" t="inlineStr">
        <is>
          <t>✓</t>
        </is>
      </c>
    </row>
    <row r="11" ht="22" customHeight="1">
      <c r="B11" s="43" t="inlineStr">
        <is>
          <t>Deal Predictive Scoring</t>
        </is>
      </c>
      <c r="C11" s="44" t="inlineStr">
        <is>
          <t>Automatic forecast rating (algorithm)</t>
        </is>
      </c>
      <c r="D11" s="45" t="inlineStr">
        <is>
          <t>✓</t>
        </is>
      </c>
      <c r="E11" s="45" t="inlineStr">
        <is>
          <t>✓</t>
        </is>
      </c>
      <c r="F11" s="45" t="inlineStr">
        <is>
          <t>✓</t>
        </is>
      </c>
      <c r="G11" s="45" t="inlineStr">
        <is>
          <t>✓</t>
        </is>
      </c>
    </row>
    <row r="12" ht="22" customHeight="1">
      <c r="B12" s="40" t="inlineStr">
        <is>
          <t>Next Best Offers</t>
        </is>
      </c>
      <c r="C12" s="41" t="inlineStr">
        <is>
          <t>Product recommendations for upsell (algorithm)</t>
        </is>
      </c>
      <c r="D12" s="42" t="inlineStr">
        <is>
          <t>✓</t>
        </is>
      </c>
      <c r="E12" s="42" t="inlineStr">
        <is>
          <t>✓</t>
        </is>
      </c>
      <c r="F12" s="42" t="inlineStr">
        <is>
          <t>✓</t>
        </is>
      </c>
      <c r="G12" s="42" t="inlineStr">
        <is>
          <t>✓</t>
        </is>
      </c>
    </row>
    <row r="13" ht="22" customHeight="1">
      <c r="B13" s="43" t="inlineStr">
        <is>
          <t>Deal Contact Roles</t>
        </is>
      </c>
      <c r="C13" s="44" t="inlineStr">
        <is>
          <t>Decision Maker, Champion, Influencer + loyalty</t>
        </is>
      </c>
      <c r="D13" s="45" t="inlineStr">
        <is>
          <t>✓</t>
        </is>
      </c>
      <c r="E13" s="45" t="inlineStr">
        <is>
          <t>✓</t>
        </is>
      </c>
      <c r="F13" s="45" t="inlineStr">
        <is>
          <t>✓</t>
        </is>
      </c>
      <c r="G13" s="45" t="inlineStr">
        <is>
          <t>✓</t>
        </is>
      </c>
    </row>
    <row r="14" ht="22" customHeight="1">
      <c r="B14" s="40" t="inlineStr">
        <is>
          <t>Deal Competitors</t>
        </is>
      </c>
      <c r="C14" s="41" t="inlineStr">
        <is>
          <t>Strengths/weaknesses table</t>
        </is>
      </c>
      <c r="D14" s="42" t="inlineStr">
        <is>
          <t>✓</t>
        </is>
      </c>
      <c r="E14" s="42" t="inlineStr">
        <is>
          <t>✓</t>
        </is>
      </c>
      <c r="F14" s="42" t="inlineStr">
        <is>
          <t>✓</t>
        </is>
      </c>
      <c r="G14" s="42" t="inlineStr">
        <is>
          <t>✓</t>
        </is>
      </c>
    </row>
    <row r="15" ht="22" customHeight="1">
      <c r="B15" s="43" t="inlineStr">
        <is>
          <t>Deal Team</t>
        </is>
      </c>
      <c r="C15" s="44" t="inlineStr">
        <is>
          <t>Team members with roles</t>
        </is>
      </c>
      <c r="D15" s="45" t="inlineStr">
        <is>
          <t>✓</t>
        </is>
      </c>
      <c r="E15" s="45" t="inlineStr">
        <is>
          <t>✓</t>
        </is>
      </c>
      <c r="F15" s="45" t="inlineStr">
        <is>
          <t>✓</t>
        </is>
      </c>
      <c r="G15" s="45" t="inlineStr">
        <is>
          <t>✓</t>
        </is>
      </c>
    </row>
    <row r="16" ht="22" customHeight="1">
      <c r="B16" s="40" t="inlineStr">
        <is>
          <t>Deal Offers Tab</t>
        </is>
      </c>
      <c r="C16" s="41" t="inlineStr">
        <is>
          <t>Proposals linked to deal</t>
        </is>
      </c>
      <c r="D16" s="42" t="inlineStr">
        <is>
          <t>✓</t>
        </is>
      </c>
      <c r="E16" s="42" t="inlineStr">
        <is>
          <t>✓</t>
        </is>
      </c>
      <c r="F16" s="42" t="inlineStr">
        <is>
          <t>✓</t>
        </is>
      </c>
      <c r="G16" s="42" t="inlineStr">
        <is>
          <t>✓</t>
        </is>
      </c>
    </row>
    <row r="17" ht="22" customHeight="1">
      <c r="B17" s="43" t="inlineStr">
        <is>
          <t>Deal Invoices Tab</t>
        </is>
      </c>
      <c r="C17" s="44" t="inlineStr">
        <is>
          <t>Invoices linked to deal</t>
        </is>
      </c>
      <c r="D17" s="45" t="inlineStr">
        <is>
          <t>✓</t>
        </is>
      </c>
      <c r="E17" s="45" t="inlineStr">
        <is>
          <t>✓</t>
        </is>
      </c>
      <c r="F17" s="45" t="inlineStr">
        <is>
          <t>✓</t>
        </is>
      </c>
      <c r="G17" s="45" t="inlineStr">
        <is>
          <t>✓</t>
        </is>
      </c>
    </row>
    <row r="18" ht="22" customHeight="1">
      <c r="B18" s="40" t="inlineStr">
        <is>
          <t>Deal Engagement Tab</t>
        </is>
      </c>
      <c r="C18" s="41" t="inlineStr">
        <is>
          <t>Calls, emails, meetings metrics</t>
        </is>
      </c>
      <c r="D18" s="42" t="inlineStr">
        <is>
          <t>✓</t>
        </is>
      </c>
      <c r="E18" s="42" t="inlineStr">
        <is>
          <t>✓</t>
        </is>
      </c>
      <c r="F18" s="42" t="inlineStr">
        <is>
          <t>✓</t>
        </is>
      </c>
      <c r="G18" s="42" t="inlineStr">
        <is>
          <t>✓</t>
        </is>
      </c>
    </row>
    <row r="19" ht="22" customHeight="1">
      <c r="B19" s="43" t="inlineStr">
        <is>
          <t>Deal Activity Timeline</t>
        </is>
      </c>
      <c r="C19" s="44" t="inlineStr">
        <is>
          <t>Chronology of all actions</t>
        </is>
      </c>
      <c r="D19" s="45" t="inlineStr">
        <is>
          <t>✓</t>
        </is>
      </c>
      <c r="E19" s="45" t="inlineStr">
        <is>
          <t>✓</t>
        </is>
      </c>
      <c r="F19" s="45" t="inlineStr">
        <is>
          <t>✓</t>
        </is>
      </c>
      <c r="G19" s="45" t="inlineStr">
        <is>
          <t>✓</t>
        </is>
      </c>
    </row>
    <row r="20" ht="22" customHeight="1">
      <c r="B20" s="40" t="inlineStr">
        <is>
          <t>Deal History</t>
        </is>
      </c>
      <c r="C20" s="41" t="inlineStr">
        <is>
          <t>Audit: who changed what</t>
        </is>
      </c>
      <c r="D20" s="42" t="inlineStr">
        <is>
          <t>✓</t>
        </is>
      </c>
      <c r="E20" s="42" t="inlineStr">
        <is>
          <t>✓</t>
        </is>
      </c>
      <c r="F20" s="42" t="inlineStr">
        <is>
          <t>✓</t>
        </is>
      </c>
      <c r="G20" s="42" t="inlineStr">
        <is>
          <t>✓</t>
        </is>
      </c>
    </row>
    <row r="21" ht="22" customHeight="1">
      <c r="B21" s="43" t="inlineStr">
        <is>
          <t>Deal Next Steps</t>
        </is>
      </c>
      <c r="C21" s="44" t="inlineStr">
        <is>
          <t>Checklist of next actions</t>
        </is>
      </c>
      <c r="D21" s="45" t="inlineStr">
        <is>
          <t>✓</t>
        </is>
      </c>
      <c r="E21" s="45" t="inlineStr">
        <is>
          <t>✓</t>
        </is>
      </c>
      <c r="F21" s="45" t="inlineStr">
        <is>
          <t>✓</t>
        </is>
      </c>
      <c r="G21" s="45" t="inlineStr">
        <is>
          <t>✓</t>
        </is>
      </c>
    </row>
    <row r="22" ht="22" customHeight="1">
      <c r="B22" s="40" t="inlineStr">
        <is>
          <t>Deal Tags (live save)</t>
        </is>
      </c>
      <c r="C22" s="41" t="inlineStr">
        <is>
          <t>Color tags with instant save</t>
        </is>
      </c>
      <c r="D22" s="42" t="inlineStr">
        <is>
          <t>✓</t>
        </is>
      </c>
      <c r="E22" s="42" t="inlineStr">
        <is>
          <t>✓</t>
        </is>
      </c>
      <c r="F22" s="42" t="inlineStr">
        <is>
          <t>✓</t>
        </is>
      </c>
      <c r="G22" s="42" t="inlineStr">
        <is>
          <t>✓</t>
        </is>
      </c>
    </row>
    <row r="23" ht="22" customHeight="1">
      <c r="B23" s="43" t="inlineStr">
        <is>
          <t>Deal Contact Card</t>
        </is>
      </c>
      <c r="C23" s="44" t="inlineStr">
        <is>
          <t>Call/Email/WhatsApp/Chat in 1 click</t>
        </is>
      </c>
      <c r="D23" s="45" t="inlineStr">
        <is>
          <t>✓</t>
        </is>
      </c>
      <c r="E23" s="45" t="inlineStr">
        <is>
          <t>✓</t>
        </is>
      </c>
      <c r="F23" s="45" t="inlineStr">
        <is>
          <t>✓</t>
        </is>
      </c>
      <c r="G23" s="45" t="inlineStr">
        <is>
          <t>✓</t>
        </is>
      </c>
    </row>
    <row r="24" ht="22" customHeight="1">
      <c r="B24" s="40" t="inlineStr">
        <is>
          <t>Leads</t>
        </is>
      </c>
      <c r="C24" s="41" t="inlineStr">
        <is>
          <t>List, details, qualification</t>
        </is>
      </c>
      <c r="D24" s="42" t="inlineStr">
        <is>
          <t>✓</t>
        </is>
      </c>
      <c r="E24" s="42" t="inlineStr">
        <is>
          <t>✓</t>
        </is>
      </c>
      <c r="F24" s="42" t="inlineStr">
        <is>
          <t>✓</t>
        </is>
      </c>
      <c r="G24" s="42" t="inlineStr">
        <is>
          <t>✓</t>
        </is>
      </c>
    </row>
    <row r="25" ht="22" customHeight="1">
      <c r="B25" s="43" t="inlineStr">
        <is>
          <t>Lead -&gt; Deal Conversion</t>
        </is>
      </c>
      <c r="C25" s="44" t="inlineStr">
        <is>
          <t>One-click lead to deal</t>
        </is>
      </c>
      <c r="D25" s="45" t="inlineStr">
        <is>
          <t>✓</t>
        </is>
      </c>
      <c r="E25" s="45" t="inlineStr">
        <is>
          <t>✓</t>
        </is>
      </c>
      <c r="F25" s="45" t="inlineStr">
        <is>
          <t>✓</t>
        </is>
      </c>
      <c r="G25" s="45" t="inlineStr">
        <is>
          <t>✓</t>
        </is>
      </c>
    </row>
    <row r="26" ht="22" customHeight="1">
      <c r="B26" s="40" t="inlineStr">
        <is>
          <t>Companies</t>
        </is>
      </c>
      <c r="C26" s="41" t="inlineStr">
        <is>
          <t>Company database with timeline</t>
        </is>
      </c>
      <c r="D26" s="42" t="inlineStr">
        <is>
          <t>✓</t>
        </is>
      </c>
      <c r="E26" s="42" t="inlineStr">
        <is>
          <t>✓</t>
        </is>
      </c>
      <c r="F26" s="42" t="inlineStr">
        <is>
          <t>✓</t>
        </is>
      </c>
      <c r="G26" s="42" t="inlineStr">
        <is>
          <t>✓</t>
        </is>
      </c>
    </row>
    <row r="27" ht="22" customHeight="1">
      <c r="B27" s="43" t="inlineStr">
        <is>
          <t>Company Detail (tabs)</t>
        </is>
      </c>
      <c r="C27" s="44" t="inlineStr">
        <is>
          <t>360 view: deals, contacts, activity</t>
        </is>
      </c>
      <c r="D27" s="45" t="inlineStr">
        <is>
          <t>✓</t>
        </is>
      </c>
      <c r="E27" s="45" t="inlineStr">
        <is>
          <t>✓</t>
        </is>
      </c>
      <c r="F27" s="45" t="inlineStr">
        <is>
          <t>✓</t>
        </is>
      </c>
      <c r="G27" s="45" t="inlineStr">
        <is>
          <t>✓</t>
        </is>
      </c>
    </row>
    <row r="28" ht="22" customHeight="1">
      <c r="B28" s="40" t="inlineStr">
        <is>
          <t>Contacts</t>
        </is>
      </c>
      <c r="C28" s="41" t="inlineStr">
        <is>
          <t>Contact directory</t>
        </is>
      </c>
      <c r="D28" s="42" t="inlineStr">
        <is>
          <t>✓</t>
        </is>
      </c>
      <c r="E28" s="42" t="inlineStr">
        <is>
          <t>✓</t>
        </is>
      </c>
      <c r="F28" s="42" t="inlineStr">
        <is>
          <t>✓</t>
        </is>
      </c>
      <c r="G28" s="42" t="inlineStr">
        <is>
          <t>✓</t>
        </is>
      </c>
    </row>
    <row r="29" ht="22" customHeight="1">
      <c r="B29" s="43" t="inlineStr">
        <is>
          <t>Contact Engagement</t>
        </is>
      </c>
      <c r="C29" s="44" t="inlineStr">
        <is>
          <t>Interaction metrics</t>
        </is>
      </c>
      <c r="D29" s="45" t="inlineStr">
        <is>
          <t>✓</t>
        </is>
      </c>
      <c r="E29" s="45" t="inlineStr">
        <is>
          <t>✓</t>
        </is>
      </c>
      <c r="F29" s="45" t="inlineStr">
        <is>
          <t>✓</t>
        </is>
      </c>
      <c r="G29" s="45" t="inlineStr">
        <is>
          <t>✓</t>
        </is>
      </c>
    </row>
    <row r="30" ht="22" customHeight="1">
      <c r="B30" s="40" t="inlineStr">
        <is>
          <t>Tasks</t>
        </is>
      </c>
      <c r="C30" s="41" t="inlineStr">
        <is>
          <t>Tasks with assignment and deadlines</t>
        </is>
      </c>
      <c r="D30" s="42" t="inlineStr">
        <is>
          <t>✓</t>
        </is>
      </c>
      <c r="E30" s="42" t="inlineStr">
        <is>
          <t>✓</t>
        </is>
      </c>
      <c r="F30" s="42" t="inlineStr">
        <is>
          <t>✓</t>
        </is>
      </c>
      <c r="G30" s="42" t="inlineStr">
        <is>
          <t>✓</t>
        </is>
      </c>
    </row>
    <row r="31" ht="22" customHeight="1">
      <c r="B31" s="43" t="inlineStr">
        <is>
          <t>Task Calendar Feed</t>
        </is>
      </c>
      <c r="C31" s="44" t="inlineStr">
        <is>
          <t>Tasks in Google Calendar / Outlook</t>
        </is>
      </c>
      <c r="D31" s="45" t="inlineStr">
        <is>
          <t>✓</t>
        </is>
      </c>
      <c r="E31" s="45" t="inlineStr">
        <is>
          <t>✓</t>
        </is>
      </c>
      <c r="F31" s="45" t="inlineStr">
        <is>
          <t>✓</t>
        </is>
      </c>
      <c r="G31" s="45" t="inlineStr">
        <is>
          <t>✓</t>
        </is>
      </c>
    </row>
    <row r="32" ht="22" customHeight="1">
      <c r="B32" s="40" t="inlineStr">
        <is>
          <t>Products</t>
        </is>
      </c>
      <c r="C32" s="41" t="inlineStr">
        <is>
          <t>Product/service catalog</t>
        </is>
      </c>
      <c r="D32" s="42" t="inlineStr">
        <is>
          <t>✓</t>
        </is>
      </c>
      <c r="E32" s="42" t="inlineStr">
        <is>
          <t>✓</t>
        </is>
      </c>
      <c r="F32" s="42" t="inlineStr">
        <is>
          <t>✓</t>
        </is>
      </c>
      <c r="G32" s="42" t="inlineStr">
        <is>
          <t>✓</t>
        </is>
      </c>
    </row>
    <row r="33" ht="22" customHeight="1">
      <c r="B33" s="43" t="inlineStr">
        <is>
          <t>Contracts</t>
        </is>
      </c>
      <c r="C33" s="44" t="inlineStr">
        <is>
          <t>Contracts with files and deadlines</t>
        </is>
      </c>
      <c r="D33" s="46" t="inlineStr">
        <is>
          <t>—</t>
        </is>
      </c>
      <c r="E33" s="45" t="inlineStr">
        <is>
          <t>✓</t>
        </is>
      </c>
      <c r="F33" s="45" t="inlineStr">
        <is>
          <t>✓</t>
        </is>
      </c>
      <c r="G33" s="45" t="inlineStr">
        <is>
          <t>✓</t>
        </is>
      </c>
    </row>
    <row r="34" ht="22" customHeight="1">
      <c r="B34" s="40" t="inlineStr">
        <is>
          <t>Contract Files</t>
        </is>
      </c>
      <c r="C34" s="41" t="inlineStr">
        <is>
          <t>PDF attachments</t>
        </is>
      </c>
      <c r="D34" s="47" t="inlineStr">
        <is>
          <t>—</t>
        </is>
      </c>
      <c r="E34" s="42" t="inlineStr">
        <is>
          <t>✓</t>
        </is>
      </c>
      <c r="F34" s="42" t="inlineStr">
        <is>
          <t>✓</t>
        </is>
      </c>
      <c r="G34" s="42" t="inlineStr">
        <is>
          <t>✓</t>
        </is>
      </c>
    </row>
    <row r="35" ht="26" customHeight="1">
      <c r="B35" s="25" t="inlineStr">
        <is>
          <t>FINANCE — INVOICING (12)</t>
        </is>
      </c>
      <c r="C35" s="26" t="n"/>
      <c r="D35" s="26" t="n"/>
      <c r="E35" s="26" t="n"/>
      <c r="F35" s="26" t="n"/>
      <c r="G35" s="26" t="n"/>
    </row>
    <row r="36" ht="22" customHeight="1">
      <c r="B36" s="40" t="inlineStr">
        <is>
          <t>Invoice Creation</t>
        </is>
      </c>
      <c r="C36" s="41" t="inlineStr">
        <is>
          <t>Invoices with line items, taxes, discounts</t>
        </is>
      </c>
      <c r="D36" s="47" t="inlineStr">
        <is>
          <t>—</t>
        </is>
      </c>
      <c r="E36" s="47" t="inlineStr">
        <is>
          <t>—</t>
        </is>
      </c>
      <c r="F36" s="42" t="inlineStr">
        <is>
          <t>✓</t>
        </is>
      </c>
      <c r="G36" s="42" t="inlineStr">
        <is>
          <t>✓</t>
        </is>
      </c>
    </row>
    <row r="37" ht="22" customHeight="1">
      <c r="B37" s="43" t="inlineStr">
        <is>
          <t>Invoice Editing</t>
        </is>
      </c>
      <c r="C37" s="44" t="inlineStr">
        <is>
          <t>Modify before sending</t>
        </is>
      </c>
      <c r="D37" s="46" t="inlineStr">
        <is>
          <t>—</t>
        </is>
      </c>
      <c r="E37" s="46" t="inlineStr">
        <is>
          <t>—</t>
        </is>
      </c>
      <c r="F37" s="45" t="inlineStr">
        <is>
          <t>✓</t>
        </is>
      </c>
      <c r="G37" s="45" t="inlineStr">
        <is>
          <t>✓</t>
        </is>
      </c>
    </row>
    <row r="38" ht="22" customHeight="1">
      <c r="B38" s="40" t="inlineStr">
        <is>
          <t>Invoice PDF Generation</t>
        </is>
      </c>
      <c r="C38" s="41" t="inlineStr">
        <is>
          <t>Professional PDF in 1 click</t>
        </is>
      </c>
      <c r="D38" s="47" t="inlineStr">
        <is>
          <t>—</t>
        </is>
      </c>
      <c r="E38" s="47" t="inlineStr">
        <is>
          <t>—</t>
        </is>
      </c>
      <c r="F38" s="42" t="inlineStr">
        <is>
          <t>✓</t>
        </is>
      </c>
      <c r="G38" s="42" t="inlineStr">
        <is>
          <t>✓</t>
        </is>
      </c>
    </row>
    <row r="39" ht="22" customHeight="1">
      <c r="B39" s="43" t="inlineStr">
        <is>
          <t>Invoice Send (email)</t>
        </is>
      </c>
      <c r="C39" s="44" t="inlineStr">
        <is>
          <t>Send to client from CRM</t>
        </is>
      </c>
      <c r="D39" s="46" t="inlineStr">
        <is>
          <t>—</t>
        </is>
      </c>
      <c r="E39" s="46" t="inlineStr">
        <is>
          <t>—</t>
        </is>
      </c>
      <c r="F39" s="45" t="inlineStr">
        <is>
          <t>✓</t>
        </is>
      </c>
      <c r="G39" s="45" t="inlineStr">
        <is>
          <t>✓</t>
        </is>
      </c>
    </row>
    <row r="40" ht="22" customHeight="1">
      <c r="B40" s="40" t="inlineStr">
        <is>
          <t>Invoice Payments</t>
        </is>
      </c>
      <c r="C40" s="41" t="inlineStr">
        <is>
          <t>Partial payments, statuses</t>
        </is>
      </c>
      <c r="D40" s="47" t="inlineStr">
        <is>
          <t>—</t>
        </is>
      </c>
      <c r="E40" s="47" t="inlineStr">
        <is>
          <t>—</t>
        </is>
      </c>
      <c r="F40" s="42" t="inlineStr">
        <is>
          <t>✓</t>
        </is>
      </c>
      <c r="G40" s="42" t="inlineStr">
        <is>
          <t>✓</t>
        </is>
      </c>
    </row>
    <row r="41" ht="22" customHeight="1">
      <c r="B41" s="43" t="inlineStr">
        <is>
          <t>Recurring Invoices</t>
        </is>
      </c>
      <c r="C41" s="44" t="inlineStr">
        <is>
          <t>Automatic monthly invoicing</t>
        </is>
      </c>
      <c r="D41" s="46" t="inlineStr">
        <is>
          <t>—</t>
        </is>
      </c>
      <c r="E41" s="46" t="inlineStr">
        <is>
          <t>—</t>
        </is>
      </c>
      <c r="F41" s="45" t="inlineStr">
        <is>
          <t>✓</t>
        </is>
      </c>
      <c r="G41" s="45" t="inlineStr">
        <is>
          <t>✓</t>
        </is>
      </c>
    </row>
    <row r="42" ht="22" customHeight="1">
      <c r="B42" s="40" t="inlineStr">
        <is>
          <t>Invoice Chains</t>
        </is>
      </c>
      <c r="C42" s="41" t="inlineStr">
        <is>
          <t>Credit notes, adjustments</t>
        </is>
      </c>
      <c r="D42" s="47" t="inlineStr">
        <is>
          <t>—</t>
        </is>
      </c>
      <c r="E42" s="47" t="inlineStr">
        <is>
          <t>—</t>
        </is>
      </c>
      <c r="F42" s="42" t="inlineStr">
        <is>
          <t>✓</t>
        </is>
      </c>
      <c r="G42" s="42" t="inlineStr">
        <is>
          <t>✓</t>
        </is>
      </c>
    </row>
    <row r="43" ht="22" customHeight="1">
      <c r="B43" s="43" t="inlineStr">
        <is>
          <t>Invoice Duplication</t>
        </is>
      </c>
      <c r="C43" s="44" t="inlineStr">
        <is>
          <t>Clone previous invoice</t>
        </is>
      </c>
      <c r="D43" s="46" t="inlineStr">
        <is>
          <t>—</t>
        </is>
      </c>
      <c r="E43" s="46" t="inlineStr">
        <is>
          <t>—</t>
        </is>
      </c>
      <c r="F43" s="45" t="inlineStr">
        <is>
          <t>✓</t>
        </is>
      </c>
      <c r="G43" s="45" t="inlineStr">
        <is>
          <t>✓</t>
        </is>
      </c>
    </row>
    <row r="44" ht="22" customHeight="1">
      <c r="B44" s="40" t="inlineStr">
        <is>
          <t>Invoice Stats</t>
        </is>
      </c>
      <c r="C44" s="41" t="inlineStr">
        <is>
          <t>Paid / overdue / pending dashboard</t>
        </is>
      </c>
      <c r="D44" s="47" t="inlineStr">
        <is>
          <t>—</t>
        </is>
      </c>
      <c r="E44" s="47" t="inlineStr">
        <is>
          <t>—</t>
        </is>
      </c>
      <c r="F44" s="42" t="inlineStr">
        <is>
          <t>✓</t>
        </is>
      </c>
      <c r="G44" s="42" t="inlineStr">
        <is>
          <t>✓</t>
        </is>
      </c>
    </row>
    <row r="45" ht="22" customHeight="1">
      <c r="B45" s="43" t="inlineStr">
        <is>
          <t>Overdue Tracking</t>
        </is>
      </c>
      <c r="C45" s="44" t="inlineStr">
        <is>
          <t>Alert on overdue invoices</t>
        </is>
      </c>
      <c r="D45" s="46" t="inlineStr">
        <is>
          <t>—</t>
        </is>
      </c>
      <c r="E45" s="46" t="inlineStr">
        <is>
          <t>—</t>
        </is>
      </c>
      <c r="F45" s="45" t="inlineStr">
        <is>
          <t>✓</t>
        </is>
      </c>
      <c r="G45" s="45" t="inlineStr">
        <is>
          <t>✓</t>
        </is>
      </c>
    </row>
    <row r="46" ht="22" customHeight="1">
      <c r="B46" s="40" t="inlineStr">
        <is>
          <t>Auto Invoice Numbering</t>
        </is>
      </c>
      <c r="C46" s="41" t="inlineStr">
        <is>
          <t>Sequential numbering</t>
        </is>
      </c>
      <c r="D46" s="47" t="inlineStr">
        <is>
          <t>—</t>
        </is>
      </c>
      <c r="E46" s="47" t="inlineStr">
        <is>
          <t>—</t>
        </is>
      </c>
      <c r="F46" s="42" t="inlineStr">
        <is>
          <t>✓</t>
        </is>
      </c>
      <c r="G46" s="42" t="inlineStr">
        <is>
          <t>✓</t>
        </is>
      </c>
    </row>
    <row r="47" ht="22" customHeight="1">
      <c r="B47" s="43" t="inlineStr">
        <is>
          <t>Invoice Settings</t>
        </is>
      </c>
      <c r="C47" s="44" t="inlineStr">
        <is>
          <t>Templates, payment terms</t>
        </is>
      </c>
      <c r="D47" s="46" t="inlineStr">
        <is>
          <t>—</t>
        </is>
      </c>
      <c r="E47" s="46" t="inlineStr">
        <is>
          <t>—</t>
        </is>
      </c>
      <c r="F47" s="46" t="inlineStr">
        <is>
          <t>—</t>
        </is>
      </c>
      <c r="G47" s="45" t="inlineStr">
        <is>
          <t>✓</t>
        </is>
      </c>
    </row>
    <row r="48" ht="26" customHeight="1">
      <c r="B48" s="25" t="inlineStr">
        <is>
          <t>FINANCE — OFFERS (4)</t>
        </is>
      </c>
      <c r="C48" s="26" t="n"/>
      <c r="D48" s="26" t="n"/>
      <c r="E48" s="26" t="n"/>
      <c r="F48" s="26" t="n"/>
      <c r="G48" s="26" t="n"/>
    </row>
    <row r="49" ht="22" customHeight="1">
      <c r="B49" s="43" t="inlineStr">
        <is>
          <t>Offer Creation</t>
        </is>
      </c>
      <c r="C49" s="44" t="inlineStr">
        <is>
          <t>Proposals with items and pricing</t>
        </is>
      </c>
      <c r="D49" s="46" t="inlineStr">
        <is>
          <t>—</t>
        </is>
      </c>
      <c r="E49" s="46" t="inlineStr">
        <is>
          <t>—</t>
        </is>
      </c>
      <c r="F49" s="45" t="inlineStr">
        <is>
          <t>✓</t>
        </is>
      </c>
      <c r="G49" s="45" t="inlineStr">
        <is>
          <t>✓</t>
        </is>
      </c>
    </row>
    <row r="50" ht="22" customHeight="1">
      <c r="B50" s="40" t="inlineStr">
        <is>
          <t>Offer Send</t>
        </is>
      </c>
      <c r="C50" s="41" t="inlineStr">
        <is>
          <t>Send proposal via email</t>
        </is>
      </c>
      <c r="D50" s="47" t="inlineStr">
        <is>
          <t>—</t>
        </is>
      </c>
      <c r="E50" s="47" t="inlineStr">
        <is>
          <t>—</t>
        </is>
      </c>
      <c r="F50" s="42" t="inlineStr">
        <is>
          <t>✓</t>
        </is>
      </c>
      <c r="G50" s="42" t="inlineStr">
        <is>
          <t>✓</t>
        </is>
      </c>
    </row>
    <row r="51" ht="22" customHeight="1">
      <c r="B51" s="43" t="inlineStr">
        <is>
          <t>Offer -&gt; Invoice</t>
        </is>
      </c>
      <c r="C51" s="44" t="inlineStr">
        <is>
          <t>One-click conversion</t>
        </is>
      </c>
      <c r="D51" s="46" t="inlineStr">
        <is>
          <t>—</t>
        </is>
      </c>
      <c r="E51" s="46" t="inlineStr">
        <is>
          <t>—</t>
        </is>
      </c>
      <c r="F51" s="45" t="inlineStr">
        <is>
          <t>✓</t>
        </is>
      </c>
      <c r="G51" s="45" t="inlineStr">
        <is>
          <t>✓</t>
        </is>
      </c>
    </row>
    <row r="52" ht="22" customHeight="1">
      <c r="B52" s="40" t="inlineStr">
        <is>
          <t>Next Best Offers (AI)</t>
        </is>
      </c>
      <c r="C52" s="41" t="inlineStr">
        <is>
          <t>AI product recommendations</t>
        </is>
      </c>
      <c r="D52" s="47" t="inlineStr">
        <is>
          <t>—</t>
        </is>
      </c>
      <c r="E52" s="47" t="inlineStr">
        <is>
          <t>—</t>
        </is>
      </c>
      <c r="F52" s="42" t="inlineStr">
        <is>
          <t>✓</t>
        </is>
      </c>
      <c r="G52" s="42" t="inlineStr">
        <is>
          <t>✓</t>
        </is>
      </c>
    </row>
    <row r="53" ht="26" customHeight="1">
      <c r="B53" s="25" t="inlineStr">
        <is>
          <t>FINANCE — TREASURY (6)</t>
        </is>
      </c>
      <c r="C53" s="26" t="n"/>
      <c r="D53" s="26" t="n"/>
      <c r="E53" s="26" t="n"/>
      <c r="F53" s="26" t="n"/>
      <c r="G53" s="26" t="n"/>
    </row>
    <row r="54" ht="22" customHeight="1">
      <c r="B54" s="40" t="inlineStr">
        <is>
          <t>Funds (Accounts)</t>
        </is>
      </c>
      <c r="C54" s="41" t="inlineStr">
        <is>
          <t>Bank accounts, cash balances</t>
        </is>
      </c>
      <c r="D54" s="47" t="inlineStr">
        <is>
          <t>—</t>
        </is>
      </c>
      <c r="E54" s="47" t="inlineStr">
        <is>
          <t>—</t>
        </is>
      </c>
      <c r="F54" s="47" t="inlineStr">
        <is>
          <t>—</t>
        </is>
      </c>
      <c r="G54" s="42" t="inlineStr">
        <is>
          <t>✓</t>
        </is>
      </c>
    </row>
    <row r="55" ht="22" customHeight="1">
      <c r="B55" s="43" t="inlineStr">
        <is>
          <t>Transactions</t>
        </is>
      </c>
      <c r="C55" s="44" t="inlineStr">
        <is>
          <t>All money movements journal</t>
        </is>
      </c>
      <c r="D55" s="46" t="inlineStr">
        <is>
          <t>—</t>
        </is>
      </c>
      <c r="E55" s="46" t="inlineStr">
        <is>
          <t>—</t>
        </is>
      </c>
      <c r="F55" s="46" t="inlineStr">
        <is>
          <t>—</t>
        </is>
      </c>
      <c r="G55" s="45" t="inlineStr">
        <is>
          <t>✓</t>
        </is>
      </c>
    </row>
    <row r="56" ht="22" customHeight="1">
      <c r="B56" s="40" t="inlineStr">
        <is>
          <t>Payables</t>
        </is>
      </c>
      <c r="C56" s="41" t="inlineStr">
        <is>
          <t>Who we owe, aging</t>
        </is>
      </c>
      <c r="D56" s="47" t="inlineStr">
        <is>
          <t>—</t>
        </is>
      </c>
      <c r="E56" s="47" t="inlineStr">
        <is>
          <t>—</t>
        </is>
      </c>
      <c r="F56" s="47" t="inlineStr">
        <is>
          <t>—</t>
        </is>
      </c>
      <c r="G56" s="42" t="inlineStr">
        <is>
          <t>✓</t>
        </is>
      </c>
    </row>
    <row r="57" ht="22" customHeight="1">
      <c r="B57" s="43" t="inlineStr">
        <is>
          <t>Receivables</t>
        </is>
      </c>
      <c r="C57" s="44" t="inlineStr">
        <is>
          <t>Who owes us, aging</t>
        </is>
      </c>
      <c r="D57" s="46" t="inlineStr">
        <is>
          <t>—</t>
        </is>
      </c>
      <c r="E57" s="46" t="inlineStr">
        <is>
          <t>—</t>
        </is>
      </c>
      <c r="F57" s="46" t="inlineStr">
        <is>
          <t>—</t>
        </is>
      </c>
      <c r="G57" s="45" t="inlineStr">
        <is>
          <t>✓</t>
        </is>
      </c>
    </row>
    <row r="58" ht="22" customHeight="1">
      <c r="B58" s="40" t="inlineStr">
        <is>
          <t>Finance KPI Dashboard</t>
        </is>
      </c>
      <c r="C58" s="41" t="inlineStr">
        <is>
          <t>Balance, turnover, debts</t>
        </is>
      </c>
      <c r="D58" s="47" t="inlineStr">
        <is>
          <t>—</t>
        </is>
      </c>
      <c r="E58" s="47" t="inlineStr">
        <is>
          <t>—</t>
        </is>
      </c>
      <c r="F58" s="47" t="inlineStr">
        <is>
          <t>—</t>
        </is>
      </c>
      <c r="G58" s="42" t="inlineStr">
        <is>
          <t>✓</t>
        </is>
      </c>
    </row>
    <row r="59" ht="22" customHeight="1">
      <c r="B59" s="43" t="inlineStr">
        <is>
          <t>Finance Rules</t>
        </is>
      </c>
      <c r="C59" s="44" t="inlineStr">
        <is>
          <t>Auto-categorization</t>
        </is>
      </c>
      <c r="D59" s="46" t="inlineStr">
        <is>
          <t>—</t>
        </is>
      </c>
      <c r="E59" s="46" t="inlineStr">
        <is>
          <t>—</t>
        </is>
      </c>
      <c r="F59" s="46" t="inlineStr">
        <is>
          <t>—</t>
        </is>
      </c>
      <c r="G59" s="45" t="inlineStr">
        <is>
          <t>✓</t>
        </is>
      </c>
    </row>
    <row r="60" ht="26" customHeight="1">
      <c r="B60" s="25" t="inlineStr">
        <is>
          <t>FINANCE — PRICING (8)</t>
        </is>
      </c>
      <c r="C60" s="26" t="n"/>
      <c r="D60" s="26" t="n"/>
      <c r="E60" s="26" t="n"/>
      <c r="F60" s="26" t="n"/>
      <c r="G60" s="26" t="n"/>
    </row>
    <row r="61" ht="22" customHeight="1">
      <c r="B61" s="43" t="inlineStr">
        <is>
          <t>Pricing Profiles</t>
        </is>
      </c>
      <c r="C61" s="44" t="inlineStr">
        <is>
          <t>Standard/Premium/Partner price lists</t>
        </is>
      </c>
      <c r="D61" s="46" t="inlineStr">
        <is>
          <t>—</t>
        </is>
      </c>
      <c r="E61" s="46" t="inlineStr">
        <is>
          <t>—</t>
        </is>
      </c>
      <c r="F61" s="46" t="inlineStr">
        <is>
          <t>—</t>
        </is>
      </c>
      <c r="G61" s="45" t="inlineStr">
        <is>
          <t>✓</t>
        </is>
      </c>
    </row>
    <row r="62" ht="22" customHeight="1">
      <c r="B62" s="40" t="inlineStr">
        <is>
          <t>Service Pricing</t>
        </is>
      </c>
      <c r="C62" s="41" t="inlineStr">
        <is>
          <t>Base price per service</t>
        </is>
      </c>
      <c r="D62" s="47" t="inlineStr">
        <is>
          <t>—</t>
        </is>
      </c>
      <c r="E62" s="47" t="inlineStr">
        <is>
          <t>—</t>
        </is>
      </c>
      <c r="F62" s="47" t="inlineStr">
        <is>
          <t>—</t>
        </is>
      </c>
      <c r="G62" s="42" t="inlineStr">
        <is>
          <t>✓</t>
        </is>
      </c>
    </row>
    <row r="63" ht="22" customHeight="1">
      <c r="B63" s="43" t="inlineStr">
        <is>
          <t>Unit Types</t>
        </is>
      </c>
      <c r="C63" s="44" t="inlineStr">
        <is>
          <t>Hour, project, license, user</t>
        </is>
      </c>
      <c r="D63" s="46" t="inlineStr">
        <is>
          <t>—</t>
        </is>
      </c>
      <c r="E63" s="46" t="inlineStr">
        <is>
          <t>—</t>
        </is>
      </c>
      <c r="F63" s="46" t="inlineStr">
        <is>
          <t>—</t>
        </is>
      </c>
      <c r="G63" s="45" t="inlineStr">
        <is>
          <t>✓</t>
        </is>
      </c>
    </row>
    <row r="64" ht="22" customHeight="1">
      <c r="B64" s="40" t="inlineStr">
        <is>
          <t>Company-Specific Pricing</t>
        </is>
      </c>
      <c r="C64" s="41" t="inlineStr">
        <is>
          <t>Individual prices per client</t>
        </is>
      </c>
      <c r="D64" s="47" t="inlineStr">
        <is>
          <t>—</t>
        </is>
      </c>
      <c r="E64" s="47" t="inlineStr">
        <is>
          <t>—</t>
        </is>
      </c>
      <c r="F64" s="47" t="inlineStr">
        <is>
          <t>—</t>
        </is>
      </c>
      <c r="G64" s="42" t="inlineStr">
        <is>
          <t>✓</t>
        </is>
      </c>
    </row>
    <row r="65" ht="22" customHeight="1">
      <c r="B65" s="43" t="inlineStr">
        <is>
          <t>Price Changes (batch)</t>
        </is>
      </c>
      <c r="C65" s="44" t="inlineStr">
        <is>
          <t>Mass price updates</t>
        </is>
      </c>
      <c r="D65" s="46" t="inlineStr">
        <is>
          <t>—</t>
        </is>
      </c>
      <c r="E65" s="46" t="inlineStr">
        <is>
          <t>—</t>
        </is>
      </c>
      <c r="F65" s="46" t="inlineStr">
        <is>
          <t>—</t>
        </is>
      </c>
      <c r="G65" s="45" t="inlineStr">
        <is>
          <t>✓</t>
        </is>
      </c>
    </row>
    <row r="66" ht="22" customHeight="1">
      <c r="B66" s="40" t="inlineStr">
        <is>
          <t>Additional Sales Tracking</t>
        </is>
      </c>
      <c r="C66" s="41" t="inlineStr">
        <is>
          <t>Upsell/cross-sell</t>
        </is>
      </c>
      <c r="D66" s="47" t="inlineStr">
        <is>
          <t>—</t>
        </is>
      </c>
      <c r="E66" s="47" t="inlineStr">
        <is>
          <t>—</t>
        </is>
      </c>
      <c r="F66" s="47" t="inlineStr">
        <is>
          <t>—</t>
        </is>
      </c>
      <c r="G66" s="42" t="inlineStr">
        <is>
          <t>✓</t>
        </is>
      </c>
    </row>
    <row r="67" ht="22" customHeight="1">
      <c r="B67" s="43" t="inlineStr">
        <is>
          <t>Pricing Export</t>
        </is>
      </c>
      <c r="C67" s="44" t="inlineStr">
        <is>
          <t>PDF/CSV price list</t>
        </is>
      </c>
      <c r="D67" s="46" t="inlineStr">
        <is>
          <t>—</t>
        </is>
      </c>
      <c r="E67" s="46" t="inlineStr">
        <is>
          <t>—</t>
        </is>
      </c>
      <c r="F67" s="46" t="inlineStr">
        <is>
          <t>—</t>
        </is>
      </c>
      <c r="G67" s="45" t="inlineStr">
        <is>
          <t>✓</t>
        </is>
      </c>
    </row>
    <row r="68" ht="22" customHeight="1">
      <c r="B68" s="40" t="inlineStr">
        <is>
          <t>Pricing DB Sync</t>
        </is>
      </c>
      <c r="C68" s="41" t="inlineStr">
        <is>
          <t>Sync with cost model</t>
        </is>
      </c>
      <c r="D68" s="47" t="inlineStr">
        <is>
          <t>—</t>
        </is>
      </c>
      <c r="E68" s="47" t="inlineStr">
        <is>
          <t>—</t>
        </is>
      </c>
      <c r="F68" s="47" t="inlineStr">
        <is>
          <t>—</t>
        </is>
      </c>
      <c r="G68" s="42" t="inlineStr">
        <is>
          <t>✓</t>
        </is>
      </c>
    </row>
    <row r="69" ht="26" customHeight="1">
      <c r="B69" s="25" t="inlineStr">
        <is>
          <t>FINANCE — CURRENCIES (2)</t>
        </is>
      </c>
      <c r="C69" s="26" t="n"/>
      <c r="D69" s="26" t="n"/>
      <c r="E69" s="26" t="n"/>
      <c r="F69" s="26" t="n"/>
      <c r="G69" s="26" t="n"/>
    </row>
    <row r="70" ht="22" customHeight="1">
      <c r="B70" s="40" t="inlineStr">
        <is>
          <t>Multi-Currency</t>
        </is>
      </c>
      <c r="C70" s="41" t="inlineStr">
        <is>
          <t>AZN, USD, EUR, RUB</t>
        </is>
      </c>
      <c r="D70" s="47" t="inlineStr">
        <is>
          <t>—</t>
        </is>
      </c>
      <c r="E70" s="47" t="inlineStr">
        <is>
          <t>—</t>
        </is>
      </c>
      <c r="F70" s="47" t="inlineStr">
        <is>
          <t>—</t>
        </is>
      </c>
      <c r="G70" s="42" t="inlineStr">
        <is>
          <t>✓</t>
        </is>
      </c>
    </row>
    <row r="71" ht="22" customHeight="1">
      <c r="B71" s="43" t="inlineStr">
        <is>
          <t>Exchange Rates</t>
        </is>
      </c>
      <c r="C71" s="44" t="inlineStr">
        <is>
          <t>Manual or auto FX</t>
        </is>
      </c>
      <c r="D71" s="46" t="inlineStr">
        <is>
          <t>—</t>
        </is>
      </c>
      <c r="E71" s="46" t="inlineStr">
        <is>
          <t>—</t>
        </is>
      </c>
      <c r="F71" s="46" t="inlineStr">
        <is>
          <t>—</t>
        </is>
      </c>
      <c r="G71" s="45" t="inlineStr">
        <is>
          <t>✓</t>
        </is>
      </c>
    </row>
    <row r="72" ht="26" customHeight="1">
      <c r="B72" s="25" t="inlineStr">
        <is>
          <t>MARKETING &amp; CAMPAIGNS (13)</t>
        </is>
      </c>
      <c r="C72" s="26" t="n"/>
      <c r="D72" s="26" t="n"/>
      <c r="E72" s="26" t="n"/>
      <c r="F72" s="26" t="n"/>
      <c r="G72" s="26" t="n"/>
    </row>
    <row r="73" ht="22" customHeight="1">
      <c r="B73" s="43" t="inlineStr">
        <is>
          <t>Campaigns</t>
        </is>
      </c>
      <c r="C73" s="44" t="inlineStr">
        <is>
          <t>Email campaign management</t>
        </is>
      </c>
      <c r="D73" s="46" t="inlineStr">
        <is>
          <t>—</t>
        </is>
      </c>
      <c r="E73" s="46" t="inlineStr">
        <is>
          <t>—</t>
        </is>
      </c>
      <c r="F73" s="45" t="inlineStr">
        <is>
          <t>✓</t>
        </is>
      </c>
      <c r="G73" s="45" t="inlineStr">
        <is>
          <t>✓</t>
        </is>
      </c>
    </row>
    <row r="74" ht="22" customHeight="1">
      <c r="B74" s="40" t="inlineStr">
        <is>
          <t>Campaign Flow Editor</t>
        </is>
      </c>
      <c r="C74" s="41" t="inlineStr">
        <is>
          <t>Visual drag-and-drop builder</t>
        </is>
      </c>
      <c r="D74" s="47" t="inlineStr">
        <is>
          <t>—</t>
        </is>
      </c>
      <c r="E74" s="47" t="inlineStr">
        <is>
          <t>—</t>
        </is>
      </c>
      <c r="F74" s="42" t="inlineStr">
        <is>
          <t>✓</t>
        </is>
      </c>
      <c r="G74" s="42" t="inlineStr">
        <is>
          <t>✓</t>
        </is>
      </c>
    </row>
    <row r="75" ht="22" customHeight="1">
      <c r="B75" s="43" t="inlineStr">
        <is>
          <t>Campaign Send/Execute</t>
        </is>
      </c>
      <c r="C75" s="44" t="inlineStr">
        <is>
          <t>Launch to segment</t>
        </is>
      </c>
      <c r="D75" s="46" t="inlineStr">
        <is>
          <t>—</t>
        </is>
      </c>
      <c r="E75" s="46" t="inlineStr">
        <is>
          <t>—</t>
        </is>
      </c>
      <c r="F75" s="45" t="inlineStr">
        <is>
          <t>✓</t>
        </is>
      </c>
      <c r="G75" s="45" t="inlineStr">
        <is>
          <t>✓</t>
        </is>
      </c>
    </row>
    <row r="76" ht="22" customHeight="1">
      <c r="B76" s="40" t="inlineStr">
        <is>
          <t>Campaign ROI</t>
        </is>
      </c>
      <c r="C76" s="41" t="inlineStr">
        <is>
          <t>ROI per campaign</t>
        </is>
      </c>
      <c r="D76" s="47" t="inlineStr">
        <is>
          <t>—</t>
        </is>
      </c>
      <c r="E76" s="47" t="inlineStr">
        <is>
          <t>—</t>
        </is>
      </c>
      <c r="F76" s="42" t="inlineStr">
        <is>
          <t>✓</t>
        </is>
      </c>
      <c r="G76" s="42" t="inlineStr">
        <is>
          <t>✓</t>
        </is>
      </c>
    </row>
    <row r="77" ht="22" customHeight="1">
      <c r="B77" s="43" t="inlineStr">
        <is>
          <t>Segments</t>
        </is>
      </c>
      <c r="C77" s="44" t="inlineStr">
        <is>
          <t>Dynamic audience builder</t>
        </is>
      </c>
      <c r="D77" s="46" t="inlineStr">
        <is>
          <t>—</t>
        </is>
      </c>
      <c r="E77" s="46" t="inlineStr">
        <is>
          <t>—</t>
        </is>
      </c>
      <c r="F77" s="45" t="inlineStr">
        <is>
          <t>✓</t>
        </is>
      </c>
      <c r="G77" s="45" t="inlineStr">
        <is>
          <t>✓</t>
        </is>
      </c>
    </row>
    <row r="78" ht="22" customHeight="1">
      <c r="B78" s="40" t="inlineStr">
        <is>
          <t>Segment Preview</t>
        </is>
      </c>
      <c r="C78" s="41" t="inlineStr">
        <is>
          <t>Preview before sending</t>
        </is>
      </c>
      <c r="D78" s="47" t="inlineStr">
        <is>
          <t>—</t>
        </is>
      </c>
      <c r="E78" s="47" t="inlineStr">
        <is>
          <t>—</t>
        </is>
      </c>
      <c r="F78" s="42" t="inlineStr">
        <is>
          <t>✓</t>
        </is>
      </c>
      <c r="G78" s="42" t="inlineStr">
        <is>
          <t>✓</t>
        </is>
      </c>
    </row>
    <row r="79" ht="22" customHeight="1">
      <c r="B79" s="43" t="inlineStr">
        <is>
          <t>Email Templates</t>
        </is>
      </c>
      <c r="C79" s="44" t="inlineStr">
        <is>
          <t>Template library</t>
        </is>
      </c>
      <c r="D79" s="46" t="inlineStr">
        <is>
          <t>—</t>
        </is>
      </c>
      <c r="E79" s="46" t="inlineStr">
        <is>
          <t>—</t>
        </is>
      </c>
      <c r="F79" s="45" t="inlineStr">
        <is>
          <t>✓</t>
        </is>
      </c>
      <c r="G79" s="45" t="inlineStr">
        <is>
          <t>✓</t>
        </is>
      </c>
    </row>
    <row r="80" ht="22" customHeight="1">
      <c r="B80" s="40" t="inlineStr">
        <is>
          <t>Email Log</t>
        </is>
      </c>
      <c r="C80" s="41" t="inlineStr">
        <is>
          <t>Sent/bounced/opened/clicked</t>
        </is>
      </c>
      <c r="D80" s="47" t="inlineStr">
        <is>
          <t>—</t>
        </is>
      </c>
      <c r="E80" s="47" t="inlineStr">
        <is>
          <t>—</t>
        </is>
      </c>
      <c r="F80" s="42" t="inlineStr">
        <is>
          <t>✓</t>
        </is>
      </c>
      <c r="G80" s="42" t="inlineStr">
        <is>
          <t>✓</t>
        </is>
      </c>
    </row>
    <row r="81" ht="22" customHeight="1">
      <c r="B81" s="43" t="inlineStr">
        <is>
          <t>Journeys (Automation)</t>
        </is>
      </c>
      <c r="C81" s="44" t="inlineStr">
        <is>
          <t>Trigger-&gt;wait-&gt;action chains</t>
        </is>
      </c>
      <c r="D81" s="46" t="inlineStr">
        <is>
          <t>—</t>
        </is>
      </c>
      <c r="E81" s="46" t="inlineStr">
        <is>
          <t>—</t>
        </is>
      </c>
      <c r="F81" s="45" t="inlineStr">
        <is>
          <t>✓</t>
        </is>
      </c>
      <c r="G81" s="45" t="inlineStr">
        <is>
          <t>✓</t>
        </is>
      </c>
    </row>
    <row r="82" ht="22" customHeight="1">
      <c r="B82" s="40" t="inlineStr">
        <is>
          <t>Journey Enrollment</t>
        </is>
      </c>
      <c r="C82" s="41" t="inlineStr">
        <is>
          <t>Auto-subscribe leads</t>
        </is>
      </c>
      <c r="D82" s="47" t="inlineStr">
        <is>
          <t>—</t>
        </is>
      </c>
      <c r="E82" s="47" t="inlineStr">
        <is>
          <t>—</t>
        </is>
      </c>
      <c r="F82" s="42" t="inlineStr">
        <is>
          <t>✓</t>
        </is>
      </c>
      <c r="G82" s="42" t="inlineStr">
        <is>
          <t>✓</t>
        </is>
      </c>
    </row>
    <row r="83" ht="22" customHeight="1">
      <c r="B83" s="43" t="inlineStr">
        <is>
          <t>Events</t>
        </is>
      </c>
      <c r="C83" s="44" t="inlineStr">
        <is>
          <t>Webinars, conferences</t>
        </is>
      </c>
      <c r="D83" s="46" t="inlineStr">
        <is>
          <t>—</t>
        </is>
      </c>
      <c r="E83" s="46" t="inlineStr">
        <is>
          <t>—</t>
        </is>
      </c>
      <c r="F83" s="45" t="inlineStr">
        <is>
          <t>✓</t>
        </is>
      </c>
      <c r="G83" s="45" t="inlineStr">
        <is>
          <t>✓</t>
        </is>
      </c>
    </row>
    <row r="84" ht="22" customHeight="1">
      <c r="B84" s="40" t="inlineStr">
        <is>
          <t>Event Registration (public)</t>
        </is>
      </c>
      <c r="C84" s="41" t="inlineStr">
        <is>
          <t>Public signup page</t>
        </is>
      </c>
      <c r="D84" s="47" t="inlineStr">
        <is>
          <t>—</t>
        </is>
      </c>
      <c r="E84" s="47" t="inlineStr">
        <is>
          <t>—</t>
        </is>
      </c>
      <c r="F84" s="42" t="inlineStr">
        <is>
          <t>✓</t>
        </is>
      </c>
      <c r="G84" s="42" t="inlineStr">
        <is>
          <t>✓</t>
        </is>
      </c>
    </row>
    <row r="85" ht="22" customHeight="1">
      <c r="B85" s="43" t="inlineStr">
        <is>
          <t>Event Participants</t>
        </is>
      </c>
      <c r="C85" s="44" t="inlineStr">
        <is>
          <t>Lists, statuses, follow-up</t>
        </is>
      </c>
      <c r="D85" s="46" t="inlineStr">
        <is>
          <t>—</t>
        </is>
      </c>
      <c r="E85" s="46" t="inlineStr">
        <is>
          <t>—</t>
        </is>
      </c>
      <c r="F85" s="45" t="inlineStr">
        <is>
          <t>✓</t>
        </is>
      </c>
      <c r="G85" s="45" t="inlineStr">
        <is>
          <t>✓</t>
        </is>
      </c>
    </row>
    <row r="86" ht="26" customHeight="1">
      <c r="B86" s="25" t="inlineStr">
        <is>
          <t>SUPPORT &amp; SERVICE DESK (8)</t>
        </is>
      </c>
      <c r="C86" s="26" t="n"/>
      <c r="D86" s="26" t="n"/>
      <c r="E86" s="26" t="n"/>
      <c r="F86" s="26" t="n"/>
      <c r="G86" s="26" t="n"/>
    </row>
    <row r="87" ht="22" customHeight="1">
      <c r="B87" s="43" t="inlineStr">
        <is>
          <t>Tickets (Service Desk)</t>
        </is>
      </c>
      <c r="C87" s="44" t="inlineStr">
        <is>
          <t>Statuses, priorities, assignments</t>
        </is>
      </c>
      <c r="D87" s="46" t="inlineStr">
        <is>
          <t>—</t>
        </is>
      </c>
      <c r="E87" s="45" t="inlineStr">
        <is>
          <t>✓</t>
        </is>
      </c>
      <c r="F87" s="45" t="inlineStr">
        <is>
          <t>✓</t>
        </is>
      </c>
      <c r="G87" s="45" t="inlineStr">
        <is>
          <t>✓</t>
        </is>
      </c>
    </row>
    <row r="88" ht="22" customHeight="1">
      <c r="B88" s="40" t="inlineStr">
        <is>
          <t>Ticket Comments</t>
        </is>
      </c>
      <c r="C88" s="41" t="inlineStr">
        <is>
          <t>Threaded team discussion</t>
        </is>
      </c>
      <c r="D88" s="47" t="inlineStr">
        <is>
          <t>—</t>
        </is>
      </c>
      <c r="E88" s="42" t="inlineStr">
        <is>
          <t>✓</t>
        </is>
      </c>
      <c r="F88" s="42" t="inlineStr">
        <is>
          <t>✓</t>
        </is>
      </c>
      <c r="G88" s="42" t="inlineStr">
        <is>
          <t>✓</t>
        </is>
      </c>
    </row>
    <row r="89" ht="22" customHeight="1">
      <c r="B89" s="43" t="inlineStr">
        <is>
          <t>AI Ticket Agent</t>
        </is>
      </c>
      <c r="C89" s="48" t="inlineStr">
        <is>
          <t>Auto-reply + summary + KB (add-on)</t>
        </is>
      </c>
      <c r="D89" s="46" t="inlineStr">
        <is>
          <t>—</t>
        </is>
      </c>
      <c r="E89" s="46" t="inlineStr">
        <is>
          <t>—</t>
        </is>
      </c>
      <c r="F89" s="46" t="inlineStr">
        <is>
          <t>—</t>
        </is>
      </c>
      <c r="G89" s="46" t="inlineStr">
        <is>
          <t>—</t>
        </is>
      </c>
    </row>
    <row r="90" ht="22" customHeight="1">
      <c r="B90" s="40" t="inlineStr">
        <is>
          <t>Agent Desktop</t>
        </is>
      </c>
      <c r="C90" s="41" t="inlineStr">
        <is>
          <t>Unified agent workspace</t>
        </is>
      </c>
      <c r="D90" s="47" t="inlineStr">
        <is>
          <t>—</t>
        </is>
      </c>
      <c r="E90" s="42" t="inlineStr">
        <is>
          <t>✓</t>
        </is>
      </c>
      <c r="F90" s="42" t="inlineStr">
        <is>
          <t>✓</t>
        </is>
      </c>
      <c r="G90" s="42" t="inlineStr">
        <is>
          <t>✓</t>
        </is>
      </c>
    </row>
    <row r="91" ht="22" customHeight="1">
      <c r="B91" s="43" t="inlineStr">
        <is>
          <t>Agent Calendar</t>
        </is>
      </c>
      <c r="C91" s="44" t="inlineStr">
        <is>
          <t>Shift scheduling</t>
        </is>
      </c>
      <c r="D91" s="46" t="inlineStr">
        <is>
          <t>—</t>
        </is>
      </c>
      <c r="E91" s="45" t="inlineStr">
        <is>
          <t>✓</t>
        </is>
      </c>
      <c r="F91" s="45" t="inlineStr">
        <is>
          <t>✓</t>
        </is>
      </c>
      <c r="G91" s="45" t="inlineStr">
        <is>
          <t>✓</t>
        </is>
      </c>
    </row>
    <row r="92" ht="22" customHeight="1">
      <c r="B92" s="40" t="inlineStr">
        <is>
          <t>SLA Policies</t>
        </is>
      </c>
      <c r="C92" s="41" t="inlineStr">
        <is>
          <t>Response/resolution time rules</t>
        </is>
      </c>
      <c r="D92" s="47" t="inlineStr">
        <is>
          <t>—</t>
        </is>
      </c>
      <c r="E92" s="42" t="inlineStr">
        <is>
          <t>✓</t>
        </is>
      </c>
      <c r="F92" s="42" t="inlineStr">
        <is>
          <t>✓</t>
        </is>
      </c>
      <c r="G92" s="42" t="inlineStr">
        <is>
          <t>✓</t>
        </is>
      </c>
    </row>
    <row r="93" ht="22" customHeight="1">
      <c r="B93" s="43" t="inlineStr">
        <is>
          <t>Knowledge Base</t>
        </is>
      </c>
      <c r="C93" s="44" t="inlineStr">
        <is>
          <t>Articles, categories, search</t>
        </is>
      </c>
      <c r="D93" s="46" t="inlineStr">
        <is>
          <t>—</t>
        </is>
      </c>
      <c r="E93" s="45" t="inlineStr">
        <is>
          <t>✓</t>
        </is>
      </c>
      <c r="F93" s="45" t="inlineStr">
        <is>
          <t>✓</t>
        </is>
      </c>
      <c r="G93" s="45" t="inlineStr">
        <is>
          <t>✓</t>
        </is>
      </c>
    </row>
    <row r="94" ht="22" customHeight="1">
      <c r="B94" s="40" t="inlineStr">
        <is>
          <t>KB Portal (public)</t>
        </is>
      </c>
      <c r="C94" s="41" t="inlineStr">
        <is>
          <t>Open KB for customers</t>
        </is>
      </c>
      <c r="D94" s="47" t="inlineStr">
        <is>
          <t>—</t>
        </is>
      </c>
      <c r="E94" s="42" t="inlineStr">
        <is>
          <t>✓</t>
        </is>
      </c>
      <c r="F94" s="42" t="inlineStr">
        <is>
          <t>✓</t>
        </is>
      </c>
      <c r="G94" s="42" t="inlineStr">
        <is>
          <t>✓</t>
        </is>
      </c>
    </row>
    <row r="95" ht="26" customHeight="1">
      <c r="B95" s="25" t="inlineStr">
        <is>
          <t>CUSTOMER PORTAL (6)</t>
        </is>
      </c>
      <c r="C95" s="26" t="n"/>
      <c r="D95" s="26" t="n"/>
      <c r="E95" s="26" t="n"/>
      <c r="F95" s="26" t="n"/>
      <c r="G95" s="26" t="n"/>
    </row>
    <row r="96" ht="22" customHeight="1">
      <c r="B96" s="40" t="inlineStr">
        <is>
          <t>Portal AI Chat</t>
        </is>
      </c>
      <c r="C96" s="49" t="inlineStr">
        <is>
          <t>24/7 AI support (add-on)</t>
        </is>
      </c>
      <c r="D96" s="47" t="inlineStr">
        <is>
          <t>—</t>
        </is>
      </c>
      <c r="E96" s="47" t="inlineStr">
        <is>
          <t>—</t>
        </is>
      </c>
      <c r="F96" s="47" t="inlineStr">
        <is>
          <t>—</t>
        </is>
      </c>
      <c r="G96" s="47" t="inlineStr">
        <is>
          <t>—</t>
        </is>
      </c>
    </row>
    <row r="97" ht="22" customHeight="1">
      <c r="B97" s="43" t="inlineStr">
        <is>
          <t>Portal Login/Register</t>
        </is>
      </c>
      <c r="C97" s="44" t="inlineStr">
        <is>
          <t>Customer accounts</t>
        </is>
      </c>
      <c r="D97" s="46" t="inlineStr">
        <is>
          <t>—</t>
        </is>
      </c>
      <c r="E97" s="46" t="inlineStr">
        <is>
          <t>—</t>
        </is>
      </c>
      <c r="F97" s="46" t="inlineStr">
        <is>
          <t>—</t>
        </is>
      </c>
      <c r="G97" s="45" t="inlineStr">
        <is>
          <t>✓</t>
        </is>
      </c>
    </row>
    <row r="98" ht="22" customHeight="1">
      <c r="B98" s="40" t="inlineStr">
        <is>
          <t>Portal Tickets</t>
        </is>
      </c>
      <c r="C98" s="41" t="inlineStr">
        <is>
          <t>Customer ticket management</t>
        </is>
      </c>
      <c r="D98" s="47" t="inlineStr">
        <is>
          <t>—</t>
        </is>
      </c>
      <c r="E98" s="47" t="inlineStr">
        <is>
          <t>—</t>
        </is>
      </c>
      <c r="F98" s="47" t="inlineStr">
        <is>
          <t>—</t>
        </is>
      </c>
      <c r="G98" s="42" t="inlineStr">
        <is>
          <t>✓</t>
        </is>
      </c>
    </row>
    <row r="99" ht="22" customHeight="1">
      <c r="B99" s="43" t="inlineStr">
        <is>
          <t>Portal Knowledge Base</t>
        </is>
      </c>
      <c r="C99" s="44" t="inlineStr">
        <is>
          <t>Customer self-service</t>
        </is>
      </c>
      <c r="D99" s="46" t="inlineStr">
        <is>
          <t>—</t>
        </is>
      </c>
      <c r="E99" s="46" t="inlineStr">
        <is>
          <t>—</t>
        </is>
      </c>
      <c r="F99" s="46" t="inlineStr">
        <is>
          <t>—</t>
        </is>
      </c>
      <c r="G99" s="45" t="inlineStr">
        <is>
          <t>✓</t>
        </is>
      </c>
    </row>
    <row r="100" ht="22" customHeight="1">
      <c r="B100" s="40" t="inlineStr">
        <is>
          <t>Portal Set Password</t>
        </is>
      </c>
      <c r="C100" s="41" t="inlineStr">
        <is>
          <t>First-time login</t>
        </is>
      </c>
      <c r="D100" s="47" t="inlineStr">
        <is>
          <t>—</t>
        </is>
      </c>
      <c r="E100" s="47" t="inlineStr">
        <is>
          <t>—</t>
        </is>
      </c>
      <c r="F100" s="47" t="inlineStr">
        <is>
          <t>—</t>
        </is>
      </c>
      <c r="G100" s="42" t="inlineStr">
        <is>
          <t>✓</t>
        </is>
      </c>
    </row>
    <row r="101" ht="22" customHeight="1">
      <c r="B101" s="43" t="inlineStr">
        <is>
          <t>Portal Users Management</t>
        </is>
      </c>
      <c r="C101" s="44" t="inlineStr">
        <is>
          <t>Customer access control</t>
        </is>
      </c>
      <c r="D101" s="46" t="inlineStr">
        <is>
          <t>—</t>
        </is>
      </c>
      <c r="E101" s="46" t="inlineStr">
        <is>
          <t>—</t>
        </is>
      </c>
      <c r="F101" s="46" t="inlineStr">
        <is>
          <t>—</t>
        </is>
      </c>
      <c r="G101" s="45" t="inlineStr">
        <is>
          <t>✓</t>
        </is>
      </c>
    </row>
    <row r="102" ht="26" customHeight="1">
      <c r="B102" s="25" t="inlineStr">
        <is>
          <t>COMMUNICATION (4)</t>
        </is>
      </c>
      <c r="C102" s="26" t="n"/>
      <c r="D102" s="26" t="n"/>
      <c r="E102" s="26" t="n"/>
      <c r="F102" s="26" t="n"/>
      <c r="G102" s="26" t="n"/>
    </row>
    <row r="103" ht="22" customHeight="1">
      <c r="B103" s="43" t="inlineStr">
        <is>
          <t>Inbox (Unified)</t>
        </is>
      </c>
      <c r="C103" s="44" t="inlineStr">
        <is>
          <t>All messages in one inbox</t>
        </is>
      </c>
      <c r="D103" s="46" t="inlineStr">
        <is>
          <t>—</t>
        </is>
      </c>
      <c r="E103" s="46" t="inlineStr">
        <is>
          <t>—</t>
        </is>
      </c>
      <c r="F103" s="46" t="inlineStr">
        <is>
          <t>—</t>
        </is>
      </c>
      <c r="G103" s="45" t="inlineStr">
        <is>
          <t>✓</t>
        </is>
      </c>
    </row>
    <row r="104" ht="22" customHeight="1">
      <c r="B104" s="40" t="inlineStr">
        <is>
          <t>Channels Config</t>
        </is>
      </c>
      <c r="C104" s="41" t="inlineStr">
        <is>
          <t>FB, WhatsApp, TG, VK</t>
        </is>
      </c>
      <c r="D104" s="47" t="inlineStr">
        <is>
          <t>—</t>
        </is>
      </c>
      <c r="E104" s="47" t="inlineStr">
        <is>
          <t>—</t>
        </is>
      </c>
      <c r="F104" s="47" t="inlineStr">
        <is>
          <t>—</t>
        </is>
      </c>
      <c r="G104" s="42" t="inlineStr">
        <is>
          <t>✓</t>
        </is>
      </c>
    </row>
    <row r="105" ht="22" customHeight="1">
      <c r="B105" s="43" t="inlineStr">
        <is>
          <t>WhatsApp Cloud API</t>
        </is>
      </c>
      <c r="C105" s="48" t="inlineStr">
        <is>
          <t>Direct WA messaging (add-on)</t>
        </is>
      </c>
      <c r="D105" s="46" t="inlineStr">
        <is>
          <t>—</t>
        </is>
      </c>
      <c r="E105" s="46" t="inlineStr">
        <is>
          <t>—</t>
        </is>
      </c>
      <c r="F105" s="46" t="inlineStr">
        <is>
          <t>—</t>
        </is>
      </c>
      <c r="G105" s="46" t="inlineStr">
        <is>
          <t>—</t>
        </is>
      </c>
    </row>
    <row r="106" ht="22" customHeight="1">
      <c r="B106" s="40" t="inlineStr">
        <is>
          <t>SMTP Settings</t>
        </is>
      </c>
      <c r="C106" s="41" t="inlineStr">
        <is>
          <t>Email server config</t>
        </is>
      </c>
      <c r="D106" s="47" t="inlineStr">
        <is>
          <t>—</t>
        </is>
      </c>
      <c r="E106" s="47" t="inlineStr">
        <is>
          <t>—</t>
        </is>
      </c>
      <c r="F106" s="47" t="inlineStr">
        <is>
          <t>—</t>
        </is>
      </c>
      <c r="G106" s="42" t="inlineStr">
        <is>
          <t>✓</t>
        </is>
      </c>
    </row>
    <row r="107" ht="26" customHeight="1">
      <c r="B107" s="25" t="inlineStr">
        <is>
          <t>AI ENGINE — MAESTRO (12)</t>
        </is>
      </c>
      <c r="C107" s="26" t="n"/>
      <c r="D107" s="26" t="n"/>
      <c r="E107" s="26" t="n"/>
      <c r="F107" s="26" t="n"/>
      <c r="G107" s="26" t="n"/>
    </row>
    <row r="108" ht="22" customHeight="1">
      <c r="B108" s="40" t="inlineStr">
        <is>
          <t>AI Command Center</t>
        </is>
      </c>
      <c r="C108" s="41" t="inlineStr">
        <is>
          <t>Agent management dashboard</t>
        </is>
      </c>
      <c r="D108" s="42" t="inlineStr">
        <is>
          <t>✓</t>
        </is>
      </c>
      <c r="E108" s="42" t="inlineStr">
        <is>
          <t>✓</t>
        </is>
      </c>
      <c r="F108" s="42" t="inlineStr">
        <is>
          <t>✓</t>
        </is>
      </c>
      <c r="G108" s="42" t="inlineStr">
        <is>
          <t>✓</t>
        </is>
      </c>
    </row>
    <row r="109" ht="22" customHeight="1">
      <c r="B109" s="43" t="inlineStr">
        <is>
          <t>AI Chat Assistant</t>
        </is>
      </c>
      <c r="C109" s="48" t="inlineStr">
        <is>
          <t>CRM-aware chatbot (add-on)</t>
        </is>
      </c>
      <c r="D109" s="46" t="inlineStr">
        <is>
          <t>—</t>
        </is>
      </c>
      <c r="E109" s="46" t="inlineStr">
        <is>
          <t>—</t>
        </is>
      </c>
      <c r="F109" s="46" t="inlineStr">
        <is>
          <t>—</t>
        </is>
      </c>
      <c r="G109" s="46" t="inlineStr">
        <is>
          <t>—</t>
        </is>
      </c>
    </row>
    <row r="110" ht="22" customHeight="1">
      <c r="B110" s="40" t="inlineStr">
        <is>
          <t>AI Lead Scoring</t>
        </is>
      </c>
      <c r="C110" s="49" t="inlineStr">
        <is>
          <t>A-F scoring (add-on)</t>
        </is>
      </c>
      <c r="D110" s="47" t="inlineStr">
        <is>
          <t>—</t>
        </is>
      </c>
      <c r="E110" s="47" t="inlineStr">
        <is>
          <t>—</t>
        </is>
      </c>
      <c r="F110" s="47" t="inlineStr">
        <is>
          <t>—</t>
        </is>
      </c>
      <c r="G110" s="47" t="inlineStr">
        <is>
          <t>—</t>
        </is>
      </c>
    </row>
    <row r="111" ht="22" customHeight="1">
      <c r="B111" s="43" t="inlineStr">
        <is>
          <t>AI Sentiment Analysis</t>
        </is>
      </c>
      <c r="C111" s="48" t="inlineStr">
        <is>
          <t>Tone analysis (add-on)</t>
        </is>
      </c>
      <c r="D111" s="46" t="inlineStr">
        <is>
          <t>—</t>
        </is>
      </c>
      <c r="E111" s="46" t="inlineStr">
        <is>
          <t>—</t>
        </is>
      </c>
      <c r="F111" s="46" t="inlineStr">
        <is>
          <t>—</t>
        </is>
      </c>
      <c r="G111" s="46" t="inlineStr">
        <is>
          <t>—</t>
        </is>
      </c>
    </row>
    <row r="112" ht="22" customHeight="1">
      <c r="B112" s="40" t="inlineStr">
        <is>
          <t>AI Smart Tasks</t>
        </is>
      </c>
      <c r="C112" s="49" t="inlineStr">
        <is>
          <t>Auto task generation (add-on)</t>
        </is>
      </c>
      <c r="D112" s="47" t="inlineStr">
        <is>
          <t>—</t>
        </is>
      </c>
      <c r="E112" s="47" t="inlineStr">
        <is>
          <t>—</t>
        </is>
      </c>
      <c r="F112" s="47" t="inlineStr">
        <is>
          <t>—</t>
        </is>
      </c>
      <c r="G112" s="47" t="inlineStr">
        <is>
          <t>—</t>
        </is>
      </c>
    </row>
    <row r="113" ht="22" customHeight="1">
      <c r="B113" s="43" t="inlineStr">
        <is>
          <t>AI Text Generation</t>
        </is>
      </c>
      <c r="C113" s="48" t="inlineStr">
        <is>
          <t>Email/SMS generation (add-on)</t>
        </is>
      </c>
      <c r="D113" s="46" t="inlineStr">
        <is>
          <t>—</t>
        </is>
      </c>
      <c r="E113" s="46" t="inlineStr">
        <is>
          <t>—</t>
        </is>
      </c>
      <c r="F113" s="46" t="inlineStr">
        <is>
          <t>—</t>
        </is>
      </c>
      <c r="G113" s="46" t="inlineStr">
        <is>
          <t>—</t>
        </is>
      </c>
    </row>
    <row r="114" ht="22" customHeight="1">
      <c r="B114" s="40" t="inlineStr">
        <is>
          <t>AI Support Agent</t>
        </is>
      </c>
      <c r="C114" s="49" t="inlineStr">
        <is>
          <t>Ticket AI (add-on)</t>
        </is>
      </c>
      <c r="D114" s="47" t="inlineStr">
        <is>
          <t>—</t>
        </is>
      </c>
      <c r="E114" s="47" t="inlineStr">
        <is>
          <t>—</t>
        </is>
      </c>
      <c r="F114" s="47" t="inlineStr">
        <is>
          <t>—</t>
        </is>
      </c>
      <c r="G114" s="47" t="inlineStr">
        <is>
          <t>—</t>
        </is>
      </c>
    </row>
    <row r="115" ht="22" customHeight="1">
      <c r="B115" s="43" t="inlineStr">
        <is>
          <t>AI Portal Support</t>
        </is>
      </c>
      <c r="C115" s="48" t="inlineStr">
        <is>
          <t>24/7 portal chat (add-on)</t>
        </is>
      </c>
      <c r="D115" s="46" t="inlineStr">
        <is>
          <t>—</t>
        </is>
      </c>
      <c r="E115" s="46" t="inlineStr">
        <is>
          <t>—</t>
        </is>
      </c>
      <c r="F115" s="46" t="inlineStr">
        <is>
          <t>—</t>
        </is>
      </c>
      <c r="G115" s="46" t="inlineStr">
        <is>
          <t>—</t>
        </is>
      </c>
    </row>
    <row r="116" ht="22" customHeight="1">
      <c r="B116" s="40" t="inlineStr">
        <is>
          <t>AI Interaction Logs</t>
        </is>
      </c>
      <c r="C116" s="41" t="inlineStr">
        <is>
          <t>Token/cost tracking</t>
        </is>
      </c>
      <c r="D116" s="42" t="inlineStr">
        <is>
          <t>✓</t>
        </is>
      </c>
      <c r="E116" s="42" t="inlineStr">
        <is>
          <t>✓</t>
        </is>
      </c>
      <c r="F116" s="42" t="inlineStr">
        <is>
          <t>✓</t>
        </is>
      </c>
      <c r="G116" s="42" t="inlineStr">
        <is>
          <t>✓</t>
        </is>
      </c>
    </row>
    <row r="117" ht="22" customHeight="1">
      <c r="B117" s="43" t="inlineStr">
        <is>
          <t>AI Guardrails</t>
        </is>
      </c>
      <c r="C117" s="44" t="inlineStr">
        <is>
          <t>Content safety rules</t>
        </is>
      </c>
      <c r="D117" s="45" t="inlineStr">
        <is>
          <t>✓</t>
        </is>
      </c>
      <c r="E117" s="45" t="inlineStr">
        <is>
          <t>✓</t>
        </is>
      </c>
      <c r="F117" s="45" t="inlineStr">
        <is>
          <t>✓</t>
        </is>
      </c>
      <c r="G117" s="45" t="inlineStr">
        <is>
          <t>✓</t>
        </is>
      </c>
    </row>
    <row r="118" ht="22" customHeight="1">
      <c r="B118" s="40" t="inlineStr">
        <is>
          <t>AI Alerts</t>
        </is>
      </c>
      <c r="C118" s="41" t="inlineStr">
        <is>
          <t>AI behavior notifications</t>
        </is>
      </c>
      <c r="D118" s="42" t="inlineStr">
        <is>
          <t>✓</t>
        </is>
      </c>
      <c r="E118" s="42" t="inlineStr">
        <is>
          <t>✓</t>
        </is>
      </c>
      <c r="F118" s="42" t="inlineStr">
        <is>
          <t>✓</t>
        </is>
      </c>
      <c r="G118" s="42" t="inlineStr">
        <is>
          <t>✓</t>
        </is>
      </c>
    </row>
    <row r="119" ht="22" customHeight="1">
      <c r="B119" s="43" t="inlineStr">
        <is>
          <t>AI Config Form</t>
        </is>
      </c>
      <c r="C119" s="44" t="inlineStr">
        <is>
          <t>No-code agent config UI</t>
        </is>
      </c>
      <c r="D119" s="45" t="inlineStr">
        <is>
          <t>✓</t>
        </is>
      </c>
      <c r="E119" s="45" t="inlineStr">
        <is>
          <t>✓</t>
        </is>
      </c>
      <c r="F119" s="45" t="inlineStr">
        <is>
          <t>✓</t>
        </is>
      </c>
      <c r="G119" s="45" t="inlineStr">
        <is>
          <t>✓</t>
        </is>
      </c>
    </row>
    <row r="120" ht="26" customHeight="1">
      <c r="B120" s="25" t="inlineStr">
        <is>
          <t>ANALYTICS — BUDGETING (25)</t>
        </is>
      </c>
      <c r="C120" s="26" t="n"/>
      <c r="D120" s="26" t="n"/>
      <c r="E120" s="26" t="n"/>
      <c r="F120" s="26" t="n"/>
      <c r="G120" s="26" t="n"/>
    </row>
    <row r="121" ht="22" customHeight="1">
      <c r="B121" s="43" t="inlineStr">
        <is>
          <t>Budget Plans</t>
        </is>
      </c>
      <c r="C121" s="44" t="inlineStr">
        <is>
          <t>Annual/quarterly budgets</t>
        </is>
      </c>
      <c r="D121" s="46" t="inlineStr">
        <is>
          <t>—</t>
        </is>
      </c>
      <c r="E121" s="46" t="inlineStr">
        <is>
          <t>—</t>
        </is>
      </c>
      <c r="F121" s="46" t="inlineStr">
        <is>
          <t>—</t>
        </is>
      </c>
      <c r="G121" s="45" t="inlineStr">
        <is>
          <t>✓</t>
        </is>
      </c>
    </row>
    <row r="122" ht="22" customHeight="1">
      <c r="B122" s="40" t="inlineStr">
        <is>
          <t>Budget Matrix Grid</t>
        </is>
      </c>
      <c r="C122" s="41" t="inlineStr">
        <is>
          <t>Departments x categories</t>
        </is>
      </c>
      <c r="D122" s="47" t="inlineStr">
        <is>
          <t>—</t>
        </is>
      </c>
      <c r="E122" s="47" t="inlineStr">
        <is>
          <t>—</t>
        </is>
      </c>
      <c r="F122" s="47" t="inlineStr">
        <is>
          <t>—</t>
        </is>
      </c>
      <c r="G122" s="42" t="inlineStr">
        <is>
          <t>✓</t>
        </is>
      </c>
    </row>
    <row r="123" ht="22" customHeight="1">
      <c r="B123" s="43" t="inlineStr">
        <is>
          <t>Actuals vs Budget</t>
        </is>
      </c>
      <c r="C123" s="44" t="inlineStr">
        <is>
          <t>Variance analysis</t>
        </is>
      </c>
      <c r="D123" s="46" t="inlineStr">
        <is>
          <t>—</t>
        </is>
      </c>
      <c r="E123" s="46" t="inlineStr">
        <is>
          <t>—</t>
        </is>
      </c>
      <c r="F123" s="46" t="inlineStr">
        <is>
          <t>—</t>
        </is>
      </c>
      <c r="G123" s="45" t="inlineStr">
        <is>
          <t>✓</t>
        </is>
      </c>
    </row>
    <row r="124" ht="22" customHeight="1">
      <c r="B124" s="40" t="inlineStr">
        <is>
          <t>Budget Versions</t>
        </is>
      </c>
      <c r="C124" s="41" t="inlineStr">
        <is>
          <t>Version control with diff</t>
        </is>
      </c>
      <c r="D124" s="47" t="inlineStr">
        <is>
          <t>—</t>
        </is>
      </c>
      <c r="E124" s="47" t="inlineStr">
        <is>
          <t>—</t>
        </is>
      </c>
      <c r="F124" s="47" t="inlineStr">
        <is>
          <t>—</t>
        </is>
      </c>
      <c r="G124" s="42" t="inlineStr">
        <is>
          <t>✓</t>
        </is>
      </c>
    </row>
    <row r="125" ht="22" customHeight="1">
      <c r="B125" s="43" t="inlineStr">
        <is>
          <t>Budget Approval Workflow</t>
        </is>
      </c>
      <c r="C125" s="44" t="inlineStr">
        <is>
          <t>Approval chain</t>
        </is>
      </c>
      <c r="D125" s="46" t="inlineStr">
        <is>
          <t>—</t>
        </is>
      </c>
      <c r="E125" s="46" t="inlineStr">
        <is>
          <t>—</t>
        </is>
      </c>
      <c r="F125" s="46" t="inlineStr">
        <is>
          <t>—</t>
        </is>
      </c>
      <c r="G125" s="45" t="inlineStr">
        <is>
          <t>✓</t>
        </is>
      </c>
    </row>
    <row r="126" ht="22" customHeight="1">
      <c r="B126" s="40" t="inlineStr">
        <is>
          <t>Cash Flow Forecasting</t>
        </is>
      </c>
      <c r="C126" s="41" t="inlineStr">
        <is>
          <t>3 scenarios</t>
        </is>
      </c>
      <c r="D126" s="47" t="inlineStr">
        <is>
          <t>—</t>
        </is>
      </c>
      <c r="E126" s="47" t="inlineStr">
        <is>
          <t>—</t>
        </is>
      </c>
      <c r="F126" s="47" t="inlineStr">
        <is>
          <t>—</t>
        </is>
      </c>
      <c r="G126" s="42" t="inlineStr">
        <is>
          <t>✓</t>
        </is>
      </c>
    </row>
    <row r="127" ht="22" customHeight="1">
      <c r="B127" s="43" t="inlineStr">
        <is>
          <t>Cash Flow Alerts</t>
        </is>
      </c>
      <c r="C127" s="44" t="inlineStr">
        <is>
          <t>Cash gap warnings</t>
        </is>
      </c>
      <c r="D127" s="46" t="inlineStr">
        <is>
          <t>—</t>
        </is>
      </c>
      <c r="E127" s="46" t="inlineStr">
        <is>
          <t>—</t>
        </is>
      </c>
      <c r="F127" s="46" t="inlineStr">
        <is>
          <t>—</t>
        </is>
      </c>
      <c r="G127" s="45" t="inlineStr">
        <is>
          <t>✓</t>
        </is>
      </c>
    </row>
    <row r="128" ht="22" customHeight="1">
      <c r="B128" s="40" t="inlineStr">
        <is>
          <t>Rolling Forecast</t>
        </is>
      </c>
      <c r="C128" s="41" t="inlineStr">
        <is>
          <t>12-month rolling</t>
        </is>
      </c>
      <c r="D128" s="47" t="inlineStr">
        <is>
          <t>—</t>
        </is>
      </c>
      <c r="E128" s="47" t="inlineStr">
        <is>
          <t>—</t>
        </is>
      </c>
      <c r="F128" s="47" t="inlineStr">
        <is>
          <t>—</t>
        </is>
      </c>
      <c r="G128" s="42" t="inlineStr">
        <is>
          <t>✓</t>
        </is>
      </c>
    </row>
    <row r="129" ht="22" customHeight="1">
      <c r="B129" s="43" t="inlineStr">
        <is>
          <t>Expense Forecasting</t>
        </is>
      </c>
      <c r="C129" s="44" t="inlineStr">
        <is>
          <t>Category predictions</t>
        </is>
      </c>
      <c r="D129" s="46" t="inlineStr">
        <is>
          <t>—</t>
        </is>
      </c>
      <c r="E129" s="46" t="inlineStr">
        <is>
          <t>—</t>
        </is>
      </c>
      <c r="F129" s="46" t="inlineStr">
        <is>
          <t>—</t>
        </is>
      </c>
      <c r="G129" s="45" t="inlineStr">
        <is>
          <t>✓</t>
        </is>
      </c>
    </row>
    <row r="130" ht="22" customHeight="1">
      <c r="B130" s="40" t="inlineStr">
        <is>
          <t>Budget Waterfall</t>
        </is>
      </c>
      <c r="C130" s="41" t="inlineStr">
        <is>
          <t>Money flow visualization</t>
        </is>
      </c>
      <c r="D130" s="47" t="inlineStr">
        <is>
          <t>—</t>
        </is>
      </c>
      <c r="E130" s="47" t="inlineStr">
        <is>
          <t>—</t>
        </is>
      </c>
      <c r="F130" s="47" t="inlineStr">
        <is>
          <t>—</t>
        </is>
      </c>
      <c r="G130" s="42" t="inlineStr">
        <is>
          <t>✓</t>
        </is>
      </c>
    </row>
    <row r="131" ht="22" customHeight="1">
      <c r="B131" s="43" t="inlineStr">
        <is>
          <t>Margin Summary</t>
        </is>
      </c>
      <c r="C131" s="44" t="inlineStr">
        <is>
          <t>Gross/Net margins</t>
        </is>
      </c>
      <c r="D131" s="46" t="inlineStr">
        <is>
          <t>—</t>
        </is>
      </c>
      <c r="E131" s="46" t="inlineStr">
        <is>
          <t>—</t>
        </is>
      </c>
      <c r="F131" s="46" t="inlineStr">
        <is>
          <t>—</t>
        </is>
      </c>
      <c r="G131" s="45" t="inlineStr">
        <is>
          <t>✓</t>
        </is>
      </c>
    </row>
    <row r="132" ht="22" customHeight="1">
      <c r="B132" s="40" t="inlineStr">
        <is>
          <t>Execution Gauge</t>
        </is>
      </c>
      <c r="C132" s="41" t="inlineStr">
        <is>
          <t>% budget execution</t>
        </is>
      </c>
      <c r="D132" s="47" t="inlineStr">
        <is>
          <t>—</t>
        </is>
      </c>
      <c r="E132" s="47" t="inlineStr">
        <is>
          <t>—</t>
        </is>
      </c>
      <c r="F132" s="47" t="inlineStr">
        <is>
          <t>—</t>
        </is>
      </c>
      <c r="G132" s="42" t="inlineStr">
        <is>
          <t>✓</t>
        </is>
      </c>
    </row>
    <row r="133" ht="22" customHeight="1">
      <c r="B133" s="43" t="inlineStr">
        <is>
          <t>Budget Time Machine</t>
        </is>
      </c>
      <c r="C133" s="44" t="inlineStr">
        <is>
          <t>Historical views</t>
        </is>
      </c>
      <c r="D133" s="46" t="inlineStr">
        <is>
          <t>—</t>
        </is>
      </c>
      <c r="E133" s="46" t="inlineStr">
        <is>
          <t>—</t>
        </is>
      </c>
      <c r="F133" s="46" t="inlineStr">
        <is>
          <t>—</t>
        </is>
      </c>
      <c r="G133" s="45" t="inlineStr">
        <is>
          <t>✓</t>
        </is>
      </c>
    </row>
    <row r="134" ht="22" customHeight="1">
      <c r="B134" s="40" t="inlineStr">
        <is>
          <t>Budget Snapshots</t>
        </is>
      </c>
      <c r="C134" s="41" t="inlineStr">
        <is>
          <t>State freeze at date</t>
        </is>
      </c>
      <c r="D134" s="47" t="inlineStr">
        <is>
          <t>—</t>
        </is>
      </c>
      <c r="E134" s="47" t="inlineStr">
        <is>
          <t>—</t>
        </is>
      </c>
      <c r="F134" s="47" t="inlineStr">
        <is>
          <t>—</t>
        </is>
      </c>
      <c r="G134" s="42" t="inlineStr">
        <is>
          <t>✓</t>
        </is>
      </c>
    </row>
    <row r="135" ht="22" customHeight="1">
      <c r="B135" s="43" t="inlineStr">
        <is>
          <t>Budget Comments</t>
        </is>
      </c>
      <c r="C135" s="44" t="inlineStr">
        <is>
          <t>Line-level notes</t>
        </is>
      </c>
      <c r="D135" s="46" t="inlineStr">
        <is>
          <t>—</t>
        </is>
      </c>
      <c r="E135" s="46" t="inlineStr">
        <is>
          <t>—</t>
        </is>
      </c>
      <c r="F135" s="46" t="inlineStr">
        <is>
          <t>—</t>
        </is>
      </c>
      <c r="G135" s="45" t="inlineStr">
        <is>
          <t>✓</t>
        </is>
      </c>
    </row>
    <row r="136" ht="22" customHeight="1">
      <c r="B136" s="40" t="inlineStr">
        <is>
          <t>Budget Change History</t>
        </is>
      </c>
      <c r="C136" s="41" t="inlineStr">
        <is>
          <t>Changelog</t>
        </is>
      </c>
      <c r="D136" s="47" t="inlineStr">
        <is>
          <t>—</t>
        </is>
      </c>
      <c r="E136" s="47" t="inlineStr">
        <is>
          <t>—</t>
        </is>
      </c>
      <c r="F136" s="47" t="inlineStr">
        <is>
          <t>—</t>
        </is>
      </c>
      <c r="G136" s="42" t="inlineStr">
        <is>
          <t>✓</t>
        </is>
      </c>
    </row>
    <row r="137" ht="22" customHeight="1">
      <c r="B137" s="43" t="inlineStr">
        <is>
          <t>Department Access</t>
        </is>
      </c>
      <c r="C137" s="44" t="inlineStr">
        <is>
          <t>Per-department visibility</t>
        </is>
      </c>
      <c r="D137" s="46" t="inlineStr">
        <is>
          <t>—</t>
        </is>
      </c>
      <c r="E137" s="46" t="inlineStr">
        <is>
          <t>—</t>
        </is>
      </c>
      <c r="F137" s="46" t="inlineStr">
        <is>
          <t>—</t>
        </is>
      </c>
      <c r="G137" s="45" t="inlineStr">
        <is>
          <t>✓</t>
        </is>
      </c>
    </row>
    <row r="138" ht="22" customHeight="1">
      <c r="B138" s="40" t="inlineStr">
        <is>
          <t>Multi-Currency + FX</t>
        </is>
      </c>
      <c r="C138" s="41" t="inlineStr">
        <is>
          <t>Auto-conversion</t>
        </is>
      </c>
      <c r="D138" s="47" t="inlineStr">
        <is>
          <t>—</t>
        </is>
      </c>
      <c r="E138" s="47" t="inlineStr">
        <is>
          <t>—</t>
        </is>
      </c>
      <c r="F138" s="47" t="inlineStr">
        <is>
          <t>—</t>
        </is>
      </c>
      <c r="G138" s="42" t="inlineStr">
        <is>
          <t>✓</t>
        </is>
      </c>
    </row>
    <row r="139" ht="22" customHeight="1">
      <c r="B139" s="43" t="inlineStr">
        <is>
          <t>Exchange Rate Mgmt</t>
        </is>
      </c>
      <c r="C139" s="44" t="inlineStr">
        <is>
          <t>FX rate management</t>
        </is>
      </c>
      <c r="D139" s="46" t="inlineStr">
        <is>
          <t>—</t>
        </is>
      </c>
      <c r="E139" s="46" t="inlineStr">
        <is>
          <t>—</t>
        </is>
      </c>
      <c r="F139" s="46" t="inlineStr">
        <is>
          <t>—</t>
        </is>
      </c>
      <c r="G139" s="45" t="inlineStr">
        <is>
          <t>✓</t>
        </is>
      </c>
    </row>
    <row r="140" ht="22" customHeight="1">
      <c r="B140" s="40" t="inlineStr">
        <is>
          <t>Cost Types Config</t>
        </is>
      </c>
      <c r="C140" s="41" t="inlineStr">
        <is>
          <t>CAPEX/OPEX/custom</t>
        </is>
      </c>
      <c r="D140" s="47" t="inlineStr">
        <is>
          <t>—</t>
        </is>
      </c>
      <c r="E140" s="47" t="inlineStr">
        <is>
          <t>—</t>
        </is>
      </c>
      <c r="F140" s="47" t="inlineStr">
        <is>
          <t>—</t>
        </is>
      </c>
      <c r="G140" s="42" t="inlineStr">
        <is>
          <t>✓</t>
        </is>
      </c>
    </row>
    <row r="141" ht="22" customHeight="1">
      <c r="B141" s="43" t="inlineStr">
        <is>
          <t>Category Mapping</t>
        </is>
      </c>
      <c r="C141" s="44" t="inlineStr">
        <is>
          <t>Accounting to budget lines</t>
        </is>
      </c>
      <c r="D141" s="46" t="inlineStr">
        <is>
          <t>—</t>
        </is>
      </c>
      <c r="E141" s="46" t="inlineStr">
        <is>
          <t>—</t>
        </is>
      </c>
      <c r="F141" s="46" t="inlineStr">
        <is>
          <t>—</t>
        </is>
      </c>
      <c r="G141" s="45" t="inlineStr">
        <is>
          <t>✓</t>
        </is>
      </c>
    </row>
    <row r="142" ht="22" customHeight="1">
      <c r="B142" s="40" t="inlineStr">
        <is>
          <t>CSV Import/Export</t>
        </is>
      </c>
      <c r="C142" s="41" t="inlineStr">
        <is>
          <t>Excel migration</t>
        </is>
      </c>
      <c r="D142" s="47" t="inlineStr">
        <is>
          <t>—</t>
        </is>
      </c>
      <c r="E142" s="47" t="inlineStr">
        <is>
          <t>—</t>
        </is>
      </c>
      <c r="F142" s="47" t="inlineStr">
        <is>
          <t>—</t>
        </is>
      </c>
      <c r="G142" s="42" t="inlineStr">
        <is>
          <t>✓</t>
        </is>
      </c>
    </row>
    <row r="143" ht="22" customHeight="1">
      <c r="B143" s="43" t="inlineStr">
        <is>
          <t>Sales Forecast Integration</t>
        </is>
      </c>
      <c r="C143" s="44" t="inlineStr">
        <is>
          <t>Pipeline to budget</t>
        </is>
      </c>
      <c r="D143" s="46" t="inlineStr">
        <is>
          <t>—</t>
        </is>
      </c>
      <c r="E143" s="46" t="inlineStr">
        <is>
          <t>—</t>
        </is>
      </c>
      <c r="F143" s="46" t="inlineStr">
        <is>
          <t>—</t>
        </is>
      </c>
      <c r="G143" s="45" t="inlineStr">
        <is>
          <t>✓</t>
        </is>
      </c>
    </row>
    <row r="144" ht="22" customHeight="1">
      <c r="B144" s="40" t="inlineStr">
        <is>
          <t>AI Budget Narrative</t>
        </is>
      </c>
      <c r="C144" s="49" t="inlineStr">
        <is>
          <t>CFO-level commentary (add-on)</t>
        </is>
      </c>
      <c r="D144" s="47" t="inlineStr">
        <is>
          <t>—</t>
        </is>
      </c>
      <c r="E144" s="47" t="inlineStr">
        <is>
          <t>—</t>
        </is>
      </c>
      <c r="F144" s="47" t="inlineStr">
        <is>
          <t>—</t>
        </is>
      </c>
      <c r="G144" s="47" t="inlineStr">
        <is>
          <t>—</t>
        </is>
      </c>
    </row>
    <row r="145" ht="22" customHeight="1">
      <c r="B145" s="43" t="inlineStr">
        <is>
          <t>Budget Config</t>
        </is>
      </c>
      <c r="C145" s="44" t="inlineStr">
        <is>
          <t>System configuration</t>
        </is>
      </c>
      <c r="D145" s="46" t="inlineStr">
        <is>
          <t>—</t>
        </is>
      </c>
      <c r="E145" s="46" t="inlineStr">
        <is>
          <t>—</t>
        </is>
      </c>
      <c r="F145" s="46" t="inlineStr">
        <is>
          <t>—</t>
        </is>
      </c>
      <c r="G145" s="45" t="inlineStr">
        <is>
          <t>✓</t>
        </is>
      </c>
    </row>
    <row r="146" ht="26" customHeight="1">
      <c r="B146" s="25" t="inlineStr">
        <is>
          <t>ANALYTICS — PROFITABILITY (7)</t>
        </is>
      </c>
      <c r="C146" s="26" t="n"/>
      <c r="D146" s="26" t="n"/>
      <c r="E146" s="26" t="n"/>
      <c r="F146" s="26" t="n"/>
      <c r="G146" s="26" t="n"/>
    </row>
    <row r="147" ht="22" customHeight="1">
      <c r="B147" s="43" t="inlineStr">
        <is>
          <t>Client Profitability</t>
        </is>
      </c>
      <c r="C147" s="44" t="inlineStr">
        <is>
          <t>Per-client P&amp;L</t>
        </is>
      </c>
      <c r="D147" s="46" t="inlineStr">
        <is>
          <t>—</t>
        </is>
      </c>
      <c r="E147" s="46" t="inlineStr">
        <is>
          <t>—</t>
        </is>
      </c>
      <c r="F147" s="46" t="inlineStr">
        <is>
          <t>—</t>
        </is>
      </c>
      <c r="G147" s="45" t="inlineStr">
        <is>
          <t>✓</t>
        </is>
      </c>
    </row>
    <row r="148" ht="22" customHeight="1">
      <c r="B148" s="40" t="inlineStr">
        <is>
          <t>Employee Profitability</t>
        </is>
      </c>
      <c r="C148" s="41" t="inlineStr">
        <is>
          <t>Billable vs overhead</t>
        </is>
      </c>
      <c r="D148" s="47" t="inlineStr">
        <is>
          <t>—</t>
        </is>
      </c>
      <c r="E148" s="47" t="inlineStr">
        <is>
          <t>—</t>
        </is>
      </c>
      <c r="F148" s="47" t="inlineStr">
        <is>
          <t>—</t>
        </is>
      </c>
      <c r="G148" s="42" t="inlineStr">
        <is>
          <t>✓</t>
        </is>
      </c>
    </row>
    <row r="149" ht="22" customHeight="1">
      <c r="B149" s="43" t="inlineStr">
        <is>
          <t>Overhead Allocation</t>
        </is>
      </c>
      <c r="C149" s="44" t="inlineStr">
        <is>
          <t>Cost distribution</t>
        </is>
      </c>
      <c r="D149" s="46" t="inlineStr">
        <is>
          <t>—</t>
        </is>
      </c>
      <c r="E149" s="46" t="inlineStr">
        <is>
          <t>—</t>
        </is>
      </c>
      <c r="F149" s="46" t="inlineStr">
        <is>
          <t>—</t>
        </is>
      </c>
      <c r="G149" s="45" t="inlineStr">
        <is>
          <t>✓</t>
        </is>
      </c>
    </row>
    <row r="150" ht="22" customHeight="1">
      <c r="B150" s="40" t="inlineStr">
        <is>
          <t>Profitability Parameters</t>
        </is>
      </c>
      <c r="C150" s="41" t="inlineStr">
        <is>
          <t>Cost/billable rates</t>
        </is>
      </c>
      <c r="D150" s="47" t="inlineStr">
        <is>
          <t>—</t>
        </is>
      </c>
      <c r="E150" s="47" t="inlineStr">
        <is>
          <t>—</t>
        </is>
      </c>
      <c r="F150" s="47" t="inlineStr">
        <is>
          <t>—</t>
        </is>
      </c>
      <c r="G150" s="42" t="inlineStr">
        <is>
          <t>✓</t>
        </is>
      </c>
    </row>
    <row r="151" ht="22" customHeight="1">
      <c r="B151" s="43" t="inlineStr">
        <is>
          <t>Profitability Snapshots</t>
        </is>
      </c>
      <c r="C151" s="44" t="inlineStr">
        <is>
          <t>Monthly trends</t>
        </is>
      </c>
      <c r="D151" s="46" t="inlineStr">
        <is>
          <t>—</t>
        </is>
      </c>
      <c r="E151" s="46" t="inlineStr">
        <is>
          <t>—</t>
        </is>
      </c>
      <c r="F151" s="46" t="inlineStr">
        <is>
          <t>—</t>
        </is>
      </c>
      <c r="G151" s="45" t="inlineStr">
        <is>
          <t>✓</t>
        </is>
      </c>
    </row>
    <row r="152" ht="22" customHeight="1">
      <c r="B152" s="40" t="inlineStr">
        <is>
          <t>AI Profitability Insights</t>
        </is>
      </c>
      <c r="C152" s="49" t="inlineStr">
        <is>
          <t>AI analysis (add-on)</t>
        </is>
      </c>
      <c r="D152" s="47" t="inlineStr">
        <is>
          <t>—</t>
        </is>
      </c>
      <c r="E152" s="47" t="inlineStr">
        <is>
          <t>—</t>
        </is>
      </c>
      <c r="F152" s="47" t="inlineStr">
        <is>
          <t>—</t>
        </is>
      </c>
      <c r="G152" s="47" t="inlineStr">
        <is>
          <t>—</t>
        </is>
      </c>
    </row>
    <row r="153" ht="22" customHeight="1">
      <c r="B153" s="43" t="inlineStr">
        <is>
          <t>Cost-to-Service Sync</t>
        </is>
      </c>
      <c r="C153" s="44" t="inlineStr">
        <is>
          <t>Auto-update pricing</t>
        </is>
      </c>
      <c r="D153" s="46" t="inlineStr">
        <is>
          <t>—</t>
        </is>
      </c>
      <c r="E153" s="46" t="inlineStr">
        <is>
          <t>—</t>
        </is>
      </c>
      <c r="F153" s="46" t="inlineStr">
        <is>
          <t>—</t>
        </is>
      </c>
      <c r="G153" s="45" t="inlineStr">
        <is>
          <t>✓</t>
        </is>
      </c>
    </row>
    <row r="154" ht="26" customHeight="1">
      <c r="B154" s="25" t="inlineStr">
        <is>
          <t>ANALYTICS — REPORTS (2)</t>
        </is>
      </c>
      <c r="C154" s="26" t="n"/>
      <c r="D154" s="26" t="n"/>
      <c r="E154" s="26" t="n"/>
      <c r="F154" s="26" t="n"/>
      <c r="G154" s="26" t="n"/>
    </row>
    <row r="155" ht="22" customHeight="1">
      <c r="B155" s="43" t="inlineStr">
        <is>
          <t>Custom Reports</t>
        </is>
      </c>
      <c r="C155" s="44" t="inlineStr">
        <is>
          <t>Sales, activity reports</t>
        </is>
      </c>
      <c r="D155" s="46" t="inlineStr">
        <is>
          <t>—</t>
        </is>
      </c>
      <c r="E155" s="46" t="inlineStr">
        <is>
          <t>—</t>
        </is>
      </c>
      <c r="F155" s="45" t="inlineStr">
        <is>
          <t>✓</t>
        </is>
      </c>
      <c r="G155" s="45" t="inlineStr">
        <is>
          <t>✓</t>
        </is>
      </c>
    </row>
    <row r="156" ht="22" customHeight="1">
      <c r="B156" s="40" t="inlineStr">
        <is>
          <t>Campaign ROI Reports</t>
        </is>
      </c>
      <c r="C156" s="41" t="inlineStr">
        <is>
          <t>Campaign effectiveness</t>
        </is>
      </c>
      <c r="D156" s="47" t="inlineStr">
        <is>
          <t>—</t>
        </is>
      </c>
      <c r="E156" s="47" t="inlineStr">
        <is>
          <t>—</t>
        </is>
      </c>
      <c r="F156" s="42" t="inlineStr">
        <is>
          <t>✓</t>
        </is>
      </c>
      <c r="G156" s="42" t="inlineStr">
        <is>
          <t>✓</t>
        </is>
      </c>
    </row>
    <row r="157" ht="26" customHeight="1">
      <c r="B157" s="25" t="inlineStr">
        <is>
          <t>ERP / PROJECTS (3)</t>
        </is>
      </c>
      <c r="C157" s="26" t="n"/>
      <c r="D157" s="26" t="n"/>
      <c r="E157" s="26" t="n"/>
      <c r="F157" s="26" t="n"/>
      <c r="G157" s="26" t="n"/>
    </row>
    <row r="158" ht="22" customHeight="1">
      <c r="B158" s="40" t="inlineStr">
        <is>
          <t>Projects</t>
        </is>
      </c>
      <c r="C158" s="41" t="inlineStr">
        <is>
          <t>Project management</t>
        </is>
      </c>
      <c r="D158" s="47" t="inlineStr">
        <is>
          <t>—</t>
        </is>
      </c>
      <c r="E158" s="47" t="inlineStr">
        <is>
          <t>—</t>
        </is>
      </c>
      <c r="F158" s="42" t="inlineStr">
        <is>
          <t>✓</t>
        </is>
      </c>
      <c r="G158" s="42" t="inlineStr">
        <is>
          <t>✓</t>
        </is>
      </c>
    </row>
    <row r="159" ht="22" customHeight="1">
      <c r="B159" s="43" t="inlineStr">
        <is>
          <t>Project Members</t>
        </is>
      </c>
      <c r="C159" s="44" t="inlineStr">
        <is>
          <t>Team assignment</t>
        </is>
      </c>
      <c r="D159" s="46" t="inlineStr">
        <is>
          <t>—</t>
        </is>
      </c>
      <c r="E159" s="46" t="inlineStr">
        <is>
          <t>—</t>
        </is>
      </c>
      <c r="F159" s="45" t="inlineStr">
        <is>
          <t>✓</t>
        </is>
      </c>
      <c r="G159" s="45" t="inlineStr">
        <is>
          <t>✓</t>
        </is>
      </c>
    </row>
    <row r="160" ht="22" customHeight="1">
      <c r="B160" s="40" t="inlineStr">
        <is>
          <t>Project Tasks</t>
        </is>
      </c>
      <c r="C160" s="41" t="inlineStr">
        <is>
          <t>Project-linked tasks</t>
        </is>
      </c>
      <c r="D160" s="47" t="inlineStr">
        <is>
          <t>—</t>
        </is>
      </c>
      <c r="E160" s="47" t="inlineStr">
        <is>
          <t>—</t>
        </is>
      </c>
      <c r="F160" s="42" t="inlineStr">
        <is>
          <t>✓</t>
        </is>
      </c>
      <c r="G160" s="42" t="inlineStr">
        <is>
          <t>✓</t>
        </is>
      </c>
    </row>
    <row r="161" ht="26" customHeight="1">
      <c r="B161" s="25" t="inlineStr">
        <is>
          <t>SETTINGS &amp; PLATFORM (17)</t>
        </is>
      </c>
      <c r="C161" s="26" t="n"/>
      <c r="D161" s="26" t="n"/>
      <c r="E161" s="26" t="n"/>
      <c r="F161" s="26" t="n"/>
      <c r="G161" s="26" t="n"/>
    </row>
    <row r="162" ht="22" customHeight="1">
      <c r="B162" s="40" t="inlineStr">
        <is>
          <t>Dashboard</t>
        </is>
      </c>
      <c r="C162" s="41" t="inlineStr">
        <is>
          <t>KPIs, charts, activity</t>
        </is>
      </c>
      <c r="D162" s="42" t="inlineStr">
        <is>
          <t>✓</t>
        </is>
      </c>
      <c r="E162" s="42" t="inlineStr">
        <is>
          <t>✓</t>
        </is>
      </c>
      <c r="F162" s="42" t="inlineStr">
        <is>
          <t>✓</t>
        </is>
      </c>
      <c r="G162" s="42" t="inlineStr">
        <is>
          <t>✓</t>
        </is>
      </c>
    </row>
    <row r="163" ht="22" customHeight="1">
      <c r="B163" s="43" t="inlineStr">
        <is>
          <t>Notifications</t>
        </is>
      </c>
      <c r="C163" s="44" t="inlineStr">
        <is>
          <t>Notification center</t>
        </is>
      </c>
      <c r="D163" s="45" t="inlineStr">
        <is>
          <t>✓</t>
        </is>
      </c>
      <c r="E163" s="45" t="inlineStr">
        <is>
          <t>✓</t>
        </is>
      </c>
      <c r="F163" s="45" t="inlineStr">
        <is>
          <t>✓</t>
        </is>
      </c>
      <c r="G163" s="45" t="inlineStr">
        <is>
          <t>✓</t>
        </is>
      </c>
    </row>
    <row r="164" ht="22" customHeight="1">
      <c r="B164" s="40" t="inlineStr">
        <is>
          <t>Users Management</t>
        </is>
      </c>
      <c r="C164" s="41" t="inlineStr">
        <is>
          <t>User CRUD</t>
        </is>
      </c>
      <c r="D164" s="42" t="inlineStr">
        <is>
          <t>✓</t>
        </is>
      </c>
      <c r="E164" s="42" t="inlineStr">
        <is>
          <t>✓</t>
        </is>
      </c>
      <c r="F164" s="42" t="inlineStr">
        <is>
          <t>✓</t>
        </is>
      </c>
      <c r="G164" s="42" t="inlineStr">
        <is>
          <t>✓</t>
        </is>
      </c>
    </row>
    <row r="165" ht="22" customHeight="1">
      <c r="B165" s="43" t="inlineStr">
        <is>
          <t>Roles &amp; Permissions</t>
        </is>
      </c>
      <c r="C165" s="44" t="inlineStr">
        <is>
          <t>Granular access</t>
        </is>
      </c>
      <c r="D165" s="46" t="inlineStr">
        <is>
          <t>—</t>
        </is>
      </c>
      <c r="E165" s="45" t="inlineStr">
        <is>
          <t>✓</t>
        </is>
      </c>
      <c r="F165" s="45" t="inlineStr">
        <is>
          <t>✓</t>
        </is>
      </c>
      <c r="G165" s="45" t="inlineStr">
        <is>
          <t>✓</t>
        </is>
      </c>
    </row>
    <row r="166" ht="22" customHeight="1">
      <c r="B166" s="40" t="inlineStr">
        <is>
          <t>Security / 2FA</t>
        </is>
      </c>
      <c r="C166" s="41" t="inlineStr">
        <is>
          <t>TOTP authentication</t>
        </is>
      </c>
      <c r="D166" s="42" t="inlineStr">
        <is>
          <t>✓</t>
        </is>
      </c>
      <c r="E166" s="42" t="inlineStr">
        <is>
          <t>✓</t>
        </is>
      </c>
      <c r="F166" s="42" t="inlineStr">
        <is>
          <t>✓</t>
        </is>
      </c>
      <c r="G166" s="42" t="inlineStr">
        <is>
          <t>✓</t>
        </is>
      </c>
    </row>
    <row r="167" ht="22" customHeight="1">
      <c r="B167" s="43" t="inlineStr">
        <is>
          <t>Audit Log</t>
        </is>
      </c>
      <c r="C167" s="44" t="inlineStr">
        <is>
          <t>Action journal</t>
        </is>
      </c>
      <c r="D167" s="45" t="inlineStr">
        <is>
          <t>✓</t>
        </is>
      </c>
      <c r="E167" s="45" t="inlineStr">
        <is>
          <t>✓</t>
        </is>
      </c>
      <c r="F167" s="45" t="inlineStr">
        <is>
          <t>✓</t>
        </is>
      </c>
      <c r="G167" s="45" t="inlineStr">
        <is>
          <t>✓</t>
        </is>
      </c>
    </row>
    <row r="168" ht="22" customHeight="1">
      <c r="B168" s="40" t="inlineStr">
        <is>
          <t>Billing</t>
        </is>
      </c>
      <c r="C168" s="41" t="inlineStr">
        <is>
          <t>Subscription management</t>
        </is>
      </c>
      <c r="D168" s="42" t="inlineStr">
        <is>
          <t>✓</t>
        </is>
      </c>
      <c r="E168" s="42" t="inlineStr">
        <is>
          <t>✓</t>
        </is>
      </c>
      <c r="F168" s="42" t="inlineStr">
        <is>
          <t>✓</t>
        </is>
      </c>
      <c r="G168" s="42" t="inlineStr">
        <is>
          <t>✓</t>
        </is>
      </c>
    </row>
    <row r="169" ht="22" customHeight="1">
      <c r="B169" s="43" t="inlineStr">
        <is>
          <t>Workflows</t>
        </is>
      </c>
      <c r="C169" s="44" t="inlineStr">
        <is>
          <t>Trigger-&gt;action automation</t>
        </is>
      </c>
      <c r="D169" s="46" t="inlineStr">
        <is>
          <t>—</t>
        </is>
      </c>
      <c r="E169" s="46" t="inlineStr">
        <is>
          <t>—</t>
        </is>
      </c>
      <c r="F169" s="45" t="inlineStr">
        <is>
          <t>✓</t>
        </is>
      </c>
      <c r="G169" s="45" t="inlineStr">
        <is>
          <t>✓</t>
        </is>
      </c>
    </row>
    <row r="170" ht="22" customHeight="1">
      <c r="B170" s="40" t="inlineStr">
        <is>
          <t>Lead Rules</t>
        </is>
      </c>
      <c r="C170" s="41" t="inlineStr">
        <is>
          <t>Auto-assign by region</t>
        </is>
      </c>
      <c r="D170" s="47" t="inlineStr">
        <is>
          <t>—</t>
        </is>
      </c>
      <c r="E170" s="47" t="inlineStr">
        <is>
          <t>—</t>
        </is>
      </c>
      <c r="F170" s="42" t="inlineStr">
        <is>
          <t>✓</t>
        </is>
      </c>
      <c r="G170" s="42" t="inlineStr">
        <is>
          <t>✓</t>
        </is>
      </c>
    </row>
    <row r="171" ht="22" customHeight="1">
      <c r="B171" s="43" t="inlineStr">
        <is>
          <t>Web-to-Lead</t>
        </is>
      </c>
      <c r="C171" s="44" t="inlineStr">
        <is>
          <t>Embed form on website</t>
        </is>
      </c>
      <c r="D171" s="46" t="inlineStr">
        <is>
          <t>—</t>
        </is>
      </c>
      <c r="E171" s="46" t="inlineStr">
        <is>
          <t>—</t>
        </is>
      </c>
      <c r="F171" s="45" t="inlineStr">
        <is>
          <t>✓</t>
        </is>
      </c>
      <c r="G171" s="45" t="inlineStr">
        <is>
          <t>✓</t>
        </is>
      </c>
    </row>
    <row r="172" ht="22" customHeight="1">
      <c r="B172" s="40" t="inlineStr">
        <is>
          <t>Custom Fields</t>
        </is>
      </c>
      <c r="C172" s="41" t="inlineStr">
        <is>
          <t>Custom entity fields</t>
        </is>
      </c>
      <c r="D172" s="47" t="inlineStr">
        <is>
          <t>—</t>
        </is>
      </c>
      <c r="E172" s="47" t="inlineStr">
        <is>
          <t>—</t>
        </is>
      </c>
      <c r="F172" s="47" t="inlineStr">
        <is>
          <t>—</t>
        </is>
      </c>
      <c r="G172" s="42" t="inlineStr">
        <is>
          <t>✓</t>
        </is>
      </c>
    </row>
    <row r="173" ht="22" customHeight="1">
      <c r="B173" s="43" t="inlineStr">
        <is>
          <t>Dashboard Settings</t>
        </is>
      </c>
      <c r="C173" s="44" t="inlineStr">
        <is>
          <t>Widget config</t>
        </is>
      </c>
      <c r="D173" s="46" t="inlineStr">
        <is>
          <t>—</t>
        </is>
      </c>
      <c r="E173" s="46" t="inlineStr">
        <is>
          <t>—</t>
        </is>
      </c>
      <c r="F173" s="46" t="inlineStr">
        <is>
          <t>—</t>
        </is>
      </c>
      <c r="G173" s="45" t="inlineStr">
        <is>
          <t>✓</t>
        </is>
      </c>
    </row>
    <row r="174" ht="22" customHeight="1">
      <c r="B174" s="40" t="inlineStr">
        <is>
          <t>Multi-language (RU/AZ/EN)</t>
        </is>
      </c>
      <c r="C174" s="41" t="inlineStr">
        <is>
          <t>Full 3-language localization</t>
        </is>
      </c>
      <c r="D174" s="42" t="inlineStr">
        <is>
          <t>✓</t>
        </is>
      </c>
      <c r="E174" s="42" t="inlineStr">
        <is>
          <t>✓</t>
        </is>
      </c>
      <c r="F174" s="42" t="inlineStr">
        <is>
          <t>✓</t>
        </is>
      </c>
      <c r="G174" s="42" t="inlineStr">
        <is>
          <t>✓</t>
        </is>
      </c>
    </row>
    <row r="175" ht="22" customHeight="1">
      <c r="B175" s="43" t="inlineStr">
        <is>
          <t>Dark Mode</t>
        </is>
      </c>
      <c r="C175" s="44" t="inlineStr">
        <is>
          <t>Dark theme</t>
        </is>
      </c>
      <c r="D175" s="45" t="inlineStr">
        <is>
          <t>✓</t>
        </is>
      </c>
      <c r="E175" s="45" t="inlineStr">
        <is>
          <t>✓</t>
        </is>
      </c>
      <c r="F175" s="45" t="inlineStr">
        <is>
          <t>✓</t>
        </is>
      </c>
      <c r="G175" s="45" t="inlineStr">
        <is>
          <t>✓</t>
        </is>
      </c>
    </row>
    <row r="176" ht="22" customHeight="1">
      <c r="B176" s="40" t="inlineStr">
        <is>
          <t>Global Search</t>
        </is>
      </c>
      <c r="C176" s="41" t="inlineStr">
        <is>
          <t>Cross-entity search</t>
        </is>
      </c>
      <c r="D176" s="42" t="inlineStr">
        <is>
          <t>✓</t>
        </is>
      </c>
      <c r="E176" s="42" t="inlineStr">
        <is>
          <t>✓</t>
        </is>
      </c>
      <c r="F176" s="42" t="inlineStr">
        <is>
          <t>✓</t>
        </is>
      </c>
      <c r="G176" s="42" t="inlineStr">
        <is>
          <t>✓</t>
        </is>
      </c>
    </row>
    <row r="177" ht="22" customHeight="1">
      <c r="B177" s="43" t="inlineStr">
        <is>
          <t>Responsive Design</t>
        </is>
      </c>
      <c r="C177" s="44" t="inlineStr">
        <is>
          <t>Mobile-friendly</t>
        </is>
      </c>
      <c r="D177" s="45" t="inlineStr">
        <is>
          <t>✓</t>
        </is>
      </c>
      <c r="E177" s="45" t="inlineStr">
        <is>
          <t>✓</t>
        </is>
      </c>
      <c r="F177" s="45" t="inlineStr">
        <is>
          <t>✓</t>
        </is>
      </c>
      <c r="G177" s="45" t="inlineStr">
        <is>
          <t>✓</t>
        </is>
      </c>
    </row>
    <row r="178" ht="22" customHeight="1">
      <c r="B178" s="40" t="inlineStr">
        <is>
          <t>Plan-based Feature Gating</t>
        </is>
      </c>
      <c r="C178" s="41" t="inlineStr">
        <is>
          <t>4-tier access control</t>
        </is>
      </c>
      <c r="D178" s="42" t="inlineStr">
        <is>
          <t>✓</t>
        </is>
      </c>
      <c r="E178" s="42" t="inlineStr">
        <is>
          <t>✓</t>
        </is>
      </c>
      <c r="F178" s="42" t="inlineStr">
        <is>
          <t>✓</t>
        </is>
      </c>
      <c r="G178" s="42" t="inlineStr">
        <is>
          <t>✓</t>
        </is>
      </c>
    </row>
    <row r="180">
      <c r="B180" s="50" t="inlineStr">
        <is>
          <t>TOTAL FEATURES INCLUDED:</t>
        </is>
      </c>
      <c r="D180" s="51" t="inlineStr">
        <is>
          <t>27</t>
        </is>
      </c>
      <c r="E180" s="51" t="inlineStr">
        <is>
          <t>36</t>
        </is>
      </c>
      <c r="F180" s="51" t="inlineStr">
        <is>
          <t>70</t>
        </is>
      </c>
      <c r="G180" s="51" t="inlineStr">
        <is>
          <t>96</t>
        </is>
      </c>
    </row>
    <row r="181">
      <c r="B181" s="52" t="inlineStr">
        <is>
          <t>+ AI add-ons available for all plans (12 features)</t>
        </is>
      </c>
    </row>
  </sheetData>
  <mergeCells count="18">
    <mergeCell ref="B120:G120"/>
    <mergeCell ref="B2:G2"/>
    <mergeCell ref="B72:G72"/>
    <mergeCell ref="B95:G95"/>
    <mergeCell ref="B107:G107"/>
    <mergeCell ref="B5:G5"/>
    <mergeCell ref="B60:G60"/>
    <mergeCell ref="B146:G146"/>
    <mergeCell ref="B102:G102"/>
    <mergeCell ref="B1:G1"/>
    <mergeCell ref="B154:G154"/>
    <mergeCell ref="B35:G35"/>
    <mergeCell ref="B161:G161"/>
    <mergeCell ref="B157:G157"/>
    <mergeCell ref="B86:G86"/>
    <mergeCell ref="B53:G53"/>
    <mergeCell ref="B48:G48"/>
    <mergeCell ref="B69:G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B59B6"/>
    <outlinePr summaryBelow="1" summaryRight="1"/>
    <pageSetUpPr/>
  </sheetPr>
  <dimension ref="A1:G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50" customWidth="1" min="4" max="4"/>
    <col width="14" customWidth="1" min="5" max="5"/>
    <col width="30" customWidth="1" min="6" max="6"/>
    <col width="14" customWidth="1" min="7" max="7"/>
  </cols>
  <sheetData>
    <row r="1">
      <c r="A1" s="53" t="n"/>
      <c r="B1" s="54" t="inlineStr">
        <is>
          <t>AI Engine — MAESTRO</t>
        </is>
      </c>
      <c r="C1" s="53" t="n"/>
      <c r="D1" s="53" t="n"/>
      <c r="E1" s="53" t="n"/>
      <c r="F1" s="53" t="n"/>
      <c r="G1" s="53" t="n"/>
    </row>
    <row r="2">
      <c r="A2" s="53" t="n"/>
      <c r="B2" s="55" t="inlineStr">
        <is>
          <t>16 AI Features Powered by Anthropic Claude</t>
        </is>
      </c>
      <c r="C2" s="53" t="n"/>
      <c r="D2" s="53" t="n"/>
      <c r="E2" s="53" t="n"/>
      <c r="F2" s="53" t="n"/>
      <c r="G2" s="53" t="n"/>
    </row>
    <row r="4">
      <c r="B4" s="56" t="inlineStr">
        <is>
          <t>Feature</t>
        </is>
      </c>
      <c r="C4" s="56" t="inlineStr">
        <is>
          <t>AI Model</t>
        </is>
      </c>
      <c r="D4" s="56" t="inlineStr">
        <is>
          <t>Description</t>
        </is>
      </c>
      <c r="E4" s="56" t="inlineStr">
        <is>
          <t>Uniqueness</t>
        </is>
      </c>
      <c r="F4" s="56" t="inlineStr">
        <is>
          <t>Competitor Equivalent</t>
        </is>
      </c>
      <c r="G4" s="56" t="inlineStr">
        <is>
          <t>Add-On Price</t>
        </is>
      </c>
    </row>
    <row r="5" ht="40" customHeight="1">
      <c r="B5" s="57" t="inlineStr">
        <is>
          <t>AI Chat Assistant</t>
        </is>
      </c>
      <c r="C5" s="58" t="inlineStr">
        <is>
          <t>Claude Sonnet 4.6</t>
        </is>
      </c>
      <c r="D5" s="18" t="inlineStr">
        <is>
          <t>Floating CRM-aware chatbot. Knows your deals, companies, pipeline. Ask anything about your data.</t>
        </is>
      </c>
      <c r="E5" s="59" t="inlineStr">
        <is>
          <t>★★★★★</t>
        </is>
      </c>
      <c r="F5" s="60" t="inlineStr">
        <is>
          <t>HubSpot Breeze: $800+/mo</t>
        </is>
      </c>
      <c r="G5" s="61" t="n">
        <v>199</v>
      </c>
    </row>
    <row r="6" ht="40" customHeight="1">
      <c r="B6" s="62" t="inlineStr">
        <is>
          <t>AI Lead Scoring</t>
        </is>
      </c>
      <c r="C6" s="63" t="inlineStr">
        <is>
          <t>Claude Sonnet 4.6</t>
        </is>
      </c>
      <c r="D6" s="13" t="inlineStr">
        <is>
          <t>Automatic A-F lead scoring with conversion probability and detailed reasoning for each score.</t>
        </is>
      </c>
      <c r="E6" s="64" t="inlineStr">
        <is>
          <t>★★★★★</t>
        </is>
      </c>
      <c r="F6" s="65" t="inlineStr">
        <is>
          <t>Salesforce Einstein: $150/user</t>
        </is>
      </c>
      <c r="G6" s="66" t="n">
        <v>99</v>
      </c>
    </row>
    <row r="7" ht="40" customHeight="1">
      <c r="B7" s="57" t="inlineStr">
        <is>
          <t>AI Sentiment Analysis</t>
        </is>
      </c>
      <c r="C7" s="67" t="inlineStr">
        <is>
          <t>Claude Haiku 4.5</t>
        </is>
      </c>
      <c r="D7" s="18" t="inlineStr">
        <is>
          <t>Client relationship tone: positive/neutral/negative. Trend analysis (improving/declining). Risk level.</t>
        </is>
      </c>
      <c r="E7" s="59" t="inlineStr">
        <is>
          <t>★★★★★</t>
        </is>
      </c>
      <c r="F7" s="60" t="inlineStr">
        <is>
          <t>Salesforce: $300/user Enterprise</t>
        </is>
      </c>
      <c r="G7" s="61" t="n">
        <v>79</v>
      </c>
    </row>
    <row r="8" ht="40" customHeight="1">
      <c r="B8" s="62" t="inlineStr">
        <is>
          <t>AI Smart Tasks</t>
        </is>
      </c>
      <c r="C8" s="68" t="inlineStr">
        <is>
          <t>Claude Haiku 4.5</t>
        </is>
      </c>
      <c r="D8" s="13" t="inlineStr">
        <is>
          <t>Auto-generates 4 contextual tasks: who to call, email, meet. With priorities and deadlines.</t>
        </is>
      </c>
      <c r="E8" s="64" t="inlineStr">
        <is>
          <t>★★★★★</t>
        </is>
      </c>
      <c r="F8" s="69" t="inlineStr">
        <is>
          <t>No direct competitor in SMB</t>
        </is>
      </c>
      <c r="G8" s="66" t="n">
        <v>49</v>
      </c>
    </row>
    <row r="9" ht="40" customHeight="1">
      <c r="B9" s="57" t="inlineStr">
        <is>
          <t>AI Text Generation</t>
        </is>
      </c>
      <c r="C9" s="67" t="inlineStr">
        <is>
          <t>Claude Haiku 4.5</t>
        </is>
      </c>
      <c r="D9" s="18" t="inlineStr">
        <is>
          <t>Professional email &amp; SMS with tone (professional/casual/urgent) in 3 languages (EN/RU/AZ).</t>
        </is>
      </c>
      <c r="E9" s="59" t="inlineStr">
        <is>
          <t>★★★★</t>
        </is>
      </c>
      <c r="F9" s="60" t="inlineStr">
        <is>
          <t>HubSpot: $800+/mo bundle</t>
        </is>
      </c>
      <c r="G9" s="61" t="n">
        <v>69</v>
      </c>
    </row>
    <row r="10" ht="40" customHeight="1">
      <c r="B10" s="62" t="inlineStr">
        <is>
          <t>AI Support Agent</t>
        </is>
      </c>
      <c r="C10" s="68" t="inlineStr">
        <is>
          <t>Claude Haiku 4.5</t>
        </is>
      </c>
      <c r="D10" s="13" t="inlineStr">
        <is>
          <t>Auto-replies to tickets + thread summary + troubleshooting steps. KB article integration.</t>
        </is>
      </c>
      <c r="E10" s="64" t="inlineStr">
        <is>
          <t>★★★★★</t>
        </is>
      </c>
      <c r="F10" s="65" t="inlineStr">
        <is>
          <t>Zendesk AI: $89/agent/mo</t>
        </is>
      </c>
      <c r="G10" s="66" t="n">
        <v>149</v>
      </c>
    </row>
    <row r="11" ht="40" customHeight="1">
      <c r="B11" s="57" t="inlineStr">
        <is>
          <t>AI Portal Support</t>
        </is>
      </c>
      <c r="C11" s="58" t="inlineStr">
        <is>
          <t>Claude Sonnet 4.6</t>
        </is>
      </c>
      <c r="D11" s="18" t="inlineStr">
        <is>
          <t>Customer-facing 24/7 AI chat. Auto-escalation to human. Ticket creation with full history.</t>
        </is>
      </c>
      <c r="E11" s="59" t="inlineStr">
        <is>
          <t>★★★★★</t>
        </is>
      </c>
      <c r="F11" s="60" t="inlineStr">
        <is>
          <t>Intercom Fin: $0.99/resolution</t>
        </is>
      </c>
      <c r="G11" s="61" t="n">
        <v>199</v>
      </c>
    </row>
    <row r="12" ht="40" customHeight="1">
      <c r="B12" s="62" t="inlineStr">
        <is>
          <t>AI Budget Narrative</t>
        </is>
      </c>
      <c r="C12" s="63" t="inlineStr">
        <is>
          <t>Claude Sonnet</t>
        </is>
      </c>
      <c r="D12" s="13" t="inlineStr">
        <is>
          <t>CFO-level FP&amp;A commentary on budget variances. Summary, analysis, recommendations.</t>
        </is>
      </c>
      <c r="E12" s="64" t="inlineStr">
        <is>
          <t>★★★★★</t>
        </is>
      </c>
      <c r="F12" s="69" t="inlineStr">
        <is>
          <t>No equivalent in CRM market</t>
        </is>
      </c>
      <c r="G12" s="66" t="n">
        <v>99</v>
      </c>
    </row>
    <row r="13" ht="40" customHeight="1">
      <c r="B13" s="57" t="inlineStr">
        <is>
          <t>AI Profitability Insights</t>
        </is>
      </c>
      <c r="C13" s="67" t="inlineStr">
        <is>
          <t>Claude Haiku 4.5</t>
        </is>
      </c>
      <c r="D13" s="18" t="inlineStr">
        <is>
          <t>3 observations per tab: insight, warning, opportunity. Client/employee profitability analysis.</t>
        </is>
      </c>
      <c r="E13" s="59" t="inlineStr">
        <is>
          <t>★★★★★</t>
        </is>
      </c>
      <c r="F13" s="70" t="inlineStr">
        <is>
          <t>SAP Analytics: separate module</t>
        </is>
      </c>
      <c r="G13" s="61" t="n">
        <v>79</v>
      </c>
    </row>
    <row r="15" ht="40" customHeight="1">
      <c r="B15" s="71" t="inlineStr">
        <is>
          <t>AI Full Bundle</t>
        </is>
      </c>
      <c r="C15" s="72" t="inlineStr">
        <is>
          <t>All models</t>
        </is>
      </c>
      <c r="D15" s="73" t="inlineStr">
        <is>
          <t>All 9 AI features above in one package. Save $322/mo vs individual pricing.</t>
        </is>
      </c>
      <c r="E15" s="74" t="inlineStr">
        <is>
          <t>★★★★★</t>
        </is>
      </c>
      <c r="F15" s="75" t="inlineStr">
        <is>
          <t>Comparable: $1,500+/mo elsewhere</t>
        </is>
      </c>
      <c r="G15" s="76" t="n">
        <v>699</v>
      </c>
    </row>
    <row r="17" ht="40" customHeight="1">
      <c r="B17" s="57" t="inlineStr">
        <is>
          <t>AI Command Center</t>
        </is>
      </c>
      <c r="C17" s="77" t="inlineStr">
        <is>
          <t>Infrastructure</t>
        </is>
      </c>
      <c r="D17" s="18" t="inlineStr">
        <is>
          <t>Agent management dashboard: models, temperature, system prompt, guardrails, escalation.</t>
        </is>
      </c>
      <c r="E17" s="59" t="inlineStr">
        <is>
          <t>★★★★★</t>
        </is>
      </c>
      <c r="F17" s="70" t="inlineStr">
        <is>
          <t>No equivalent</t>
        </is>
      </c>
      <c r="G17" s="78" t="inlineStr">
        <is>
          <t>Included</t>
        </is>
      </c>
    </row>
    <row r="18" ht="40" customHeight="1">
      <c r="B18" s="62" t="inlineStr">
        <is>
          <t>AI Interaction Logs</t>
        </is>
      </c>
      <c r="C18" s="79" t="inlineStr">
        <is>
          <t>Infrastructure</t>
        </is>
      </c>
      <c r="D18" s="13" t="inlineStr">
        <is>
          <t>Track all AI calls: tokens, cost in USD, latency. Cost control dashboard.</t>
        </is>
      </c>
      <c r="E18" s="64" t="inlineStr">
        <is>
          <t>★★★★</t>
        </is>
      </c>
      <c r="F18" s="69" t="inlineStr">
        <is>
          <t>No equivalent</t>
        </is>
      </c>
      <c r="G18" s="80" t="inlineStr">
        <is>
          <t>Included</t>
        </is>
      </c>
    </row>
    <row r="19" ht="40" customHeight="1">
      <c r="B19" s="57" t="inlineStr">
        <is>
          <t>AI Guardrails</t>
        </is>
      </c>
      <c r="C19" s="77" t="inlineStr">
        <is>
          <t>Infrastructure</t>
        </is>
      </c>
      <c r="D19" s="18" t="inlineStr">
        <is>
          <t>Content moderation and safety rules for AI responses.</t>
        </is>
      </c>
      <c r="E19" s="59" t="inlineStr">
        <is>
          <t>★★★★</t>
        </is>
      </c>
      <c r="F19" s="70" t="inlineStr">
        <is>
          <t>No equivalent</t>
        </is>
      </c>
      <c r="G19" s="78" t="inlineStr">
        <is>
          <t>Included</t>
        </is>
      </c>
    </row>
    <row r="20" ht="40" customHeight="1">
      <c r="B20" s="62" t="inlineStr">
        <is>
          <t>AI Alerts</t>
        </is>
      </c>
      <c r="C20" s="79" t="inlineStr">
        <is>
          <t>Infrastructure</t>
        </is>
      </c>
      <c r="D20" s="13" t="inlineStr">
        <is>
          <t>Notifications when AI behaves unexpectedly.</t>
        </is>
      </c>
      <c r="E20" s="64" t="inlineStr">
        <is>
          <t>★★★</t>
        </is>
      </c>
      <c r="F20" s="69" t="inlineStr">
        <is>
          <t>No equivalent</t>
        </is>
      </c>
      <c r="G20" s="80" t="inlineStr">
        <is>
          <t>Included</t>
        </is>
      </c>
    </row>
    <row r="21" ht="40" customHeight="1">
      <c r="B21" s="57" t="inlineStr">
        <is>
          <t>AI Config Form</t>
        </is>
      </c>
      <c r="C21" s="77" t="inlineStr">
        <is>
          <t>Infrastructure</t>
        </is>
      </c>
      <c r="D21" s="18" t="inlineStr">
        <is>
          <t>No-code UI for configuring AI agent parameters.</t>
        </is>
      </c>
      <c r="E21" s="59" t="inlineStr">
        <is>
          <t>★★★★</t>
        </is>
      </c>
      <c r="F21" s="70" t="inlineStr">
        <is>
          <t>No equivalent</t>
        </is>
      </c>
      <c r="G21" s="78" t="inlineStr">
        <is>
          <t>Included</t>
        </is>
      </c>
    </row>
    <row r="22" ht="40" customHeight="1">
      <c r="B22" s="62" t="inlineStr">
        <is>
          <t>Predictive Scoring</t>
        </is>
      </c>
      <c r="C22" s="79" t="inlineStr">
        <is>
          <t>Algorithm</t>
        </is>
      </c>
      <c r="D22" s="13" t="inlineStr">
        <is>
          <t>Automatic forecast rating: 85% confidence + 15% probability weighted formula.</t>
        </is>
      </c>
      <c r="E22" s="64" t="inlineStr">
        <is>
          <t>★★★★</t>
        </is>
      </c>
      <c r="F22" s="69" t="inlineStr">
        <is>
          <t>Salesforce: Enterprise only</t>
        </is>
      </c>
      <c r="G22" s="80" t="inlineStr">
        <is>
          <t>Included</t>
        </is>
      </c>
    </row>
    <row r="23" ht="40" customHeight="1">
      <c r="B23" s="57" t="inlineStr">
        <is>
          <t>Next Best Offers</t>
        </is>
      </c>
      <c r="C23" s="77" t="inlineStr">
        <is>
          <t>Algorithm</t>
        </is>
      </c>
      <c r="D23" s="18" t="inlineStr">
        <is>
          <t>Product recommendations based on tag/feature/category/industry/price matching.</t>
        </is>
      </c>
      <c r="E23" s="59" t="inlineStr">
        <is>
          <t>★★★★</t>
        </is>
      </c>
      <c r="F23" s="60" t="inlineStr">
        <is>
          <t>Salesforce: $150/user</t>
        </is>
      </c>
      <c r="G23" s="78" t="inlineStr">
        <is>
          <t>Included</t>
        </is>
      </c>
    </row>
    <row r="26">
      <c r="B26" s="81" t="inlineStr">
        <is>
          <t>Individual AI total:</t>
        </is>
      </c>
      <c r="G26" s="82" t="n">
        <v>1021</v>
      </c>
    </row>
    <row r="27">
      <c r="B27" s="83" t="inlineStr">
        <is>
          <t>AI Full Bundle:</t>
        </is>
      </c>
      <c r="G27" s="84" t="n">
        <v>699</v>
      </c>
    </row>
    <row r="28">
      <c r="B28" s="85" t="inlineStr">
        <is>
          <t>You save:</t>
        </is>
      </c>
      <c r="G28" s="86" t="n">
        <v>322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2026-03-27T20:25:22Z</dcterms:created>
  <dcterms:modified xmlns:dcterms="http://purl.org/dc/terms/" xmlns:xsi="http://www.w3.org/2001/XMLSchema-instance" xsi:type="dcterms:W3CDTF">2026-03-27T20:25:22Z</dcterms:modified>
</cp:coreProperties>
</file>